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6ab7650df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240908bd4a94235"/>
    <x:sheet xmlns:r="http://schemas.openxmlformats.org/officeDocument/2006/relationships" name="配装预算" sheetId="2" r:id="Rcd4be8f2ab614476"/>
    <x:sheet xmlns:r="http://schemas.openxmlformats.org/officeDocument/2006/relationships" name="回合预算" sheetId="3" r:id="R041cab473e5d4ef2"/>
    <x:sheet xmlns:r="http://schemas.openxmlformats.org/officeDocument/2006/relationships" name="现金账本" sheetId="4" r:id="R8b45dcfc71024e55"/>
    <x:sheet xmlns:r="http://schemas.openxmlformats.org/officeDocument/2006/relationships" name="价格配置" sheetId="5" r:id="R1b5b66c6d9d3443d"/>
    <x:sheet xmlns:r="http://schemas.openxmlformats.org/officeDocument/2006/relationships" name="模式参数" sheetId="6" r:id="Re858d9e02b65498e"/>
    <x:sheet xmlns:r="http://schemas.openxmlformats.org/officeDocument/2006/relationships" name="结算事件" sheetId="7" r:id="R708bbf2de83f47a4"/>
    <x:sheet xmlns:r="http://schemas.openxmlformats.org/officeDocument/2006/relationships" name="败局档位" sheetId="8" r:id="Rd8dbda17cc3540fd"/>
    <x:sheet xmlns:r="http://schemas.openxmlformats.org/officeDocument/2006/relationships" name="购买退款" sheetId="9" r:id="Ra8aad2080d374cc8"/>
    <x:sheet xmlns:r="http://schemas.openxmlformats.org/officeDocument/2006/relationships" name="配装示例" sheetId="10" r:id="Rd599979d05664088"/>
    <x:sheet xmlns:r="http://schemas.openxmlformats.org/officeDocument/2006/relationships" name="公式说明" sheetId="11" r:id="Re6d0903e55384a91"/>
    <x:sheet xmlns:r="http://schemas.openxmlformats.org/officeDocument/2006/relationships" name="经济验收" sheetId="12" r:id="R3261837ae00b4c5b"/>
    <x:sheet xmlns:r="http://schemas.openxmlformats.org/officeDocument/2006/relationships" name="待验证项" sheetId="13" r:id="R9382fb830a234089"/>
    <x:sheet xmlns:r="http://schemas.openxmlformats.org/officeDocument/2006/relationships" name="来源登记" sheetId="14" r:id="R832e1c090ee8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yyyy-mm-dd"/>
    <x:numFmt numFmtId="202" formatCode="&quot;$&quot;#,##0"/>
  </x:numFmts>
  <x:fonts count="7">
    <x:font>
      <x:sz val="11"/>
      <x:name val="Carlito"/>
    </x:font>
    <x:font>
      <x:sz val="10"/>
      <x:color rgb="FF223044"/>
      <x:name val="Arial"/>
    </x:font>
    <x:font>
      <x:b/>
      <x:sz val="15"/>
      <x:color rgb="FF223A57"/>
      <x:name val="Arial"/>
    </x:font>
    <x:font>
      <x:b/>
      <x:sz val="10"/>
      <x:color rgb="FFFFFFFF"/>
      <x:name val="Arial"/>
    </x:font>
    <x:font>
      <x:b/>
      <x:sz val="11"/>
      <x:color rgb="FF223A57"/>
      <x:name val="Carlito"/>
    </x:font>
    <x:font>
      <x:i/>
      <x:sz val="10"/>
      <x:color rgb="FF617083"/>
      <x:name val="Arial"/>
    </x:font>
    <x:font>
      <x:sz val="10"/>
      <x:color rgb="FF89581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3A57"/>
      </x:patternFill>
    </x:fill>
    <x:fill>
      <x:patternFill patternType="solid">
        <x:fgColor rgb="FFF4F6F9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6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F25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9fc6179e84198" /><Relationship Type="http://schemas.openxmlformats.org/officeDocument/2006/relationships/theme" Target="/xl/theme/theme1.xml" Id="R48fa48877e814180" /><Relationship Type="http://schemas.openxmlformats.org/officeDocument/2006/relationships/sharedStrings" Target="/xl/sharedStrings.xml" Id="R752bdee6fff24d1e" /><Relationship Type="http://schemas.openxmlformats.org/officeDocument/2006/relationships/worksheet" Target="/xl/worksheets/sheet1.xml" Id="R2240908bd4a94235" /><Relationship Type="http://schemas.openxmlformats.org/officeDocument/2006/relationships/worksheet" Target="/xl/worksheets/sheet2.xml" Id="Rcd4be8f2ab614476" /><Relationship Type="http://schemas.openxmlformats.org/officeDocument/2006/relationships/worksheet" Target="/xl/worksheets/sheet3.xml" Id="R041cab473e5d4ef2" /><Relationship Type="http://schemas.openxmlformats.org/officeDocument/2006/relationships/worksheet" Target="/xl/worksheets/sheet4.xml" Id="R8b45dcfc71024e55" /><Relationship Type="http://schemas.openxmlformats.org/officeDocument/2006/relationships/worksheet" Target="/xl/worksheets/sheet5.xml" Id="R1b5b66c6d9d3443d" /><Relationship Type="http://schemas.openxmlformats.org/officeDocument/2006/relationships/worksheet" Target="/xl/worksheets/sheet6.xml" Id="Re858d9e02b65498e" /><Relationship Type="http://schemas.openxmlformats.org/officeDocument/2006/relationships/worksheet" Target="/xl/worksheets/sheet7.xml" Id="R708bbf2de83f47a4" /><Relationship Type="http://schemas.openxmlformats.org/officeDocument/2006/relationships/worksheet" Target="/xl/worksheets/sheet8.xml" Id="Rd8dbda17cc3540fd" /><Relationship Type="http://schemas.openxmlformats.org/officeDocument/2006/relationships/worksheet" Target="/xl/worksheets/sheet9.xml" Id="Ra8aad2080d374cc8" /><Relationship Type="http://schemas.openxmlformats.org/officeDocument/2006/relationships/worksheet" Target="/xl/worksheets/sheet10.xml" Id="Rd599979d05664088" /><Relationship Type="http://schemas.openxmlformats.org/officeDocument/2006/relationships/worksheet" Target="/xl/worksheets/sheet11.xml" Id="Re6d0903e55384a91" /><Relationship Type="http://schemas.openxmlformats.org/officeDocument/2006/relationships/worksheet" Target="/xl/worksheets/sheet12.xml" Id="R3261837ae00b4c5b" /><Relationship Type="http://schemas.openxmlformats.org/officeDocument/2006/relationships/worksheet" Target="/xl/worksheets/sheet13.xml" Id="R9382fb830a234089" /><Relationship Type="http://schemas.openxmlformats.org/officeDocument/2006/relationships/worksheet" Target="/xl/worksheets/sheet14.xml" Id="R832e1c090ee84153" /></Relationships>
</file>

<file path=xl/tables/table1.xml><?xml version="1.0" encoding="utf-8"?>
<x:table xmlns:x="http://schemas.openxmlformats.org/spreadsheetml/2006/main" id="1" name="DataTable13" displayName="DataTable13" ref="A6:K15" headerRowCount="1" totalsRowCount="0" totalsRowShown="0">
  <x:autoFilter ref="A6:K15"/>
  <x:tableColumns count="11">
    <x:tableColumn id="1" name="槽位"/>
    <x:tableColumn id="2" name="物品ID"/>
    <x:tableColumn id="3" name="物品名称"/>
    <x:tableColumn id="4" name="数量"/>
    <x:tableColumn id="5" name="单价"/>
    <x:tableColumn id="6" name="小计"/>
    <x:tableColumn id="7" name="阵营"/>
    <x:tableColumn id="8" name="配装已包含"/>
    <x:tableColumn id="9" name="类别"/>
    <x:tableColumn id="10" name="输入检查"/>
    <x:tableColumn id="11" name="槽位检查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Table14" displayName="DataTable14" ref="A6:P18" headerRowCount="1" totalsRowCount="0" totalsRowShown="0">
  <x:autoFilter ref="A6:P18"/>
  <x:tableColumns count="16">
    <x:tableColumn id="1" name="回合"/>
    <x:tableColumn id="2" name="进入档位"/>
    <x:tableColumn id="3" name="期初现金"/>
    <x:tableColumn id="4" name="购买支出"/>
    <x:tableColumn id="5" name="个人击杀收入"/>
    <x:tableColumn id="6" name="个人目标收入"/>
    <x:tableColumn id="7" name="有效T淘汰数"/>
    <x:tableColumn id="8" name="本人存活"/>
    <x:tableColumn id="9" name="回合结果"/>
    <x:tableColumn id="10" name="结果奖励"/>
    <x:tableColumn id="11" name="T被拆补贴"/>
    <x:tableColumn id="12" name="CT共享收入"/>
    <x:tableColumn id="13" name="局中余额"/>
    <x:tableColumn id="14" name="下回合现金"/>
    <x:tableColumn id="15" name="下轮档位"/>
    <x:tableColumn id="16" name="输入检查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Table15" displayName="DataTable15" ref="A6:L22" headerRowCount="1" totalsRowCount="0" totalsRowShown="0">
  <x:autoFilter ref="A6:L22"/>
  <x:tableColumns count="12">
    <x:tableColumn id="1" name="序号"/>
    <x:tableColumn id="2" name="事件"/>
    <x:tableColumn id="3" name="金额／数量"/>
    <x:tableColumn id="4" name="物品ID"/>
    <x:tableColumn id="5" name="物品实例ID"/>
    <x:tableColumn id="6" name="资格已确认"/>
    <x:tableColumn id="7" name="事件前现金"/>
    <x:tableColumn id="8" name="申请变动"/>
    <x:tableColumn id="9" name="处理状态"/>
    <x:tableColumn id="10" name="实际变动"/>
    <x:tableColumn id="11" name="事件后现金"/>
    <x:tableColumn id="12" name="上限截断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ataTable16" displayName="DataTable16" ref="A6:K51" headerRowCount="1" totalsRowCount="0" totalsRowShown="0">
  <x:autoFilter ref="A6:K51"/>
  <x:tableColumns count="11">
    <x:tableColumn id="1" name="游戏配置ID"/>
    <x:tableColumn id="2" name="名称"/>
    <x:tableColumn id="3" name="类别"/>
    <x:tableColumn id="4" name="可购阵营"/>
    <x:tableColumn id="5" name="购买标价"/>
    <x:tableColumn id="6" name="个人击杀奖励"/>
    <x:tableColumn id="7" name="单位"/>
    <x:tableColumn id="8" name="适用范围"/>
    <x:tableColumn id="9" name="来源ID"/>
    <x:tableColumn id="10" name="证据状态"/>
    <x:tableColumn id="11" name="配置说明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ataTable17" displayName="DataTable17" ref="A6:H26" headerRowCount="1" totalsRowCount="0" totalsRowShown="0">
  <x:autoFilter ref="A6:H26"/>
  <x:tableColumns count="8">
    <x:tableColumn id="1" name="参数ID"/>
    <x:tableColumn id="2" name="适用模式"/>
    <x:tableColumn id="3" name="参数名"/>
    <x:tableColumn id="4" name="值"/>
    <x:tableColumn id="5" name="单位"/>
    <x:tableColumn id="6" name="规则解释"/>
    <x:tableColumn id="7" name="来源ID"/>
    <x:tableColumn id="8" name="证据状态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DataTable18" displayName="DataTable18" ref="A6:H18" headerRowCount="1" totalsRowCount="0" totalsRowShown="0">
  <x:autoFilter ref="A6:H18"/>
  <x:tableColumns count="8">
    <x:tableColumn id="1" name="事件ID"/>
    <x:tableColumn id="2" name="阵营"/>
    <x:tableColumn id="3" name="触发条件"/>
    <x:tableColumn id="4" name="结算对象"/>
    <x:tableColumn id="5" name="单次金额"/>
    <x:tableColumn id="6" name="互斥/叠加组"/>
    <x:tableColumn id="7" name="结算说明"/>
    <x:tableColumn id="8" name="来源ID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DataTable19" displayName="DataTable19" ref="A6:G11" headerRowCount="1" totalsRowCount="0" totalsRowShown="0">
  <x:autoFilter ref="A6:G11"/>
  <x:tableColumns count="7">
    <x:tableColumn id="1" name="规则ID"/>
    <x:tableColumn id="2" name="回合进入时档位"/>
    <x:tableColumn id="3" name="本回合失败基础补偿"/>
    <x:tableColumn id="4" name="失败后的下一回合档位"/>
    <x:tableColumn id="5" name="获胜后的下一回合档位"/>
    <x:tableColumn id="6" name="来源ID"/>
    <x:tableColumn id="7" name="说明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DataTable20" displayName="DataTable20" ref="A6:G20" headerRowCount="1" totalsRowCount="0" totalsRowShown="0">
  <x:autoFilter ref="A6:G20"/>
  <x:tableColumns count="7">
    <x:tableColumn id="1" name="规则ID"/>
    <x:tableColumn id="2" name="条件"/>
    <x:tableColumn id="3" name="处理结果"/>
    <x:tableColumn id="4" name="限制"/>
    <x:tableColumn id="5" name="验收要点"/>
    <x:tableColumn id="6" name="来源ID"/>
    <x:tableColumn id="7" name="证据状态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DataTable21" displayName="DataTable21" ref="A6:I18" headerRowCount="1" totalsRowCount="0" totalsRowShown="0">
  <x:autoFilter ref="A6:I18"/>
  <x:tableColumns count="9">
    <x:tableColumn id="1" name="预设ID"/>
    <x:tableColumn id="2" name="阵营"/>
    <x:tableColumn id="3" name="配装名称"/>
    <x:tableColumn id="4" name="物品ID清单（重复即数量）"/>
    <x:tableColumn id="5" name="新增购买总价"/>
    <x:tableColumn id="6" name="投掷物数量"/>
    <x:tableColumn id="7" name="前置条件"/>
    <x:tableColumn id="8" name="价格来源"/>
    <x:tableColumn id="9" name="样例属性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DataTable22" displayName="DataTable22" ref="A6:F16" headerRowCount="1" totalsRowCount="0" totalsRowShown="0">
  <x:autoFilter ref="A6:F16"/>
  <x:tableColumns count="6">
    <x:tableColumn id="1" name="公式ID"/>
    <x:tableColumn id="2" name="计算项"/>
    <x:tableColumn id="3" name="Excel表达式示意"/>
    <x:tableColumn id="4" name="输入契约"/>
    <x:tableColumn id="5" name="输出含义"/>
    <x:tableColumn id="6" name="适用边界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DataTable23" displayName="DataTable23" ref="A6:G36" headerRowCount="1" totalsRowCount="0" totalsRowShown="0">
  <x:autoFilter ref="A6:G36"/>
  <x:tableColumns count="7">
    <x:tableColumn id="1" name="用例ID"/>
    <x:tableColumn id="2" name="用例名称"/>
    <x:tableColumn id="3" name="前置条件"/>
    <x:tableColumn id="4" name="手算过程"/>
    <x:tableColumn id="5" name="期望数值"/>
    <x:tableColumn id="6" name="附加断言"/>
    <x:tableColumn id="7" name="公式ID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DataTable24" displayName="DataTable24" ref="A6:F14" headerRowCount="1" totalsRowCount="0" totalsRowShown="0">
  <x:autoFilter ref="A6:F14"/>
  <x:tableColumns count="6">
    <x:tableColumn id="1" name="问题ID"/>
    <x:tableColumn id="2" name="核验主题"/>
    <x:tableColumn id="3" name="已核实内容"/>
    <x:tableColumn id="4" name="尚未实测内容"/>
    <x:tableColumn id="5" name="表内处理"/>
    <x:tableColumn id="6" name="来源ID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DataTable25" displayName="DataTable25" ref="A6:H20" headerRowCount="1" totalsRowCount="0" totalsRowShown="0">
  <x:autoFilter ref="A6:H20"/>
  <x:tableColumns count="8">
    <x:tableColumn id="1" name="来源ID"/>
    <x:tableColumn id="2" name="资料"/>
    <x:tableColumn id="3" name="性质"/>
    <x:tableColumn id="4" name="发布日期"/>
    <x:tableColumn id="5" name="核查日期"/>
    <x:tableColumn id="6" name="支持的规则"/>
    <x:tableColumn id="7" name="链接"/>
    <x:tableColumn id="8" name="固定提交／文件SHA256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09c3519cc648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8f2c35628345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afd667201243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694622410940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3be3036b6542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5dfff657d44d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8b84641d0b42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b50c87285242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ce6eb0fcfc4b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9abb89178364f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1cac07a86eb45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398b35d7453489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78d682775c8421d" /></Relationships>
</file>

<file path=xl/worksheets/sheet1.xml><?xml version="1.0" encoding="utf-8"?>
<x:worksheet xmlns:x="http://schemas.openxmlformats.org/spreadsheetml/2006/main">
  <x:sheetPr>
    <x:tabColor rgb="FF223A5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CS2 经济系统配置与演算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/>
      <x:c r="B3" s="3"/>
      <x:c r="C3" s="3"/>
      <x:c r="D3" s="3"/>
      <x:c r="E3" s="3"/>
      <x:c r="F3" s="3"/>
      <x:c r="G3" s="3"/>
      <x:c r="H3" s="3"/>
    </x:row>
    <x:row r="4" ht="29" customHeight="1">
      <x:c r="A4" s="1" t="str">
        <x:v>适用：标准5v5竞技／Premier爆破。数据核查日2026-10-16。</x:v>
      </x:c>
      <x:c r="B4" s="1"/>
      <x:c r="C4" s="1"/>
      <x:c r="D4" s="1"/>
      <x:c r="E4" s="1"/>
      <x:c r="F4" s="1"/>
      <x:c r="G4" s="1"/>
      <x:c r="H4" s="1"/>
    </x:row>
    <x:row r="5" ht="29" customHeight="1">
      <x:c r="A5" s="1"/>
      <x:c r="B5" s="1"/>
      <x:c r="C5" s="1"/>
      <x:c r="D5" s="1"/>
      <x:c r="E5" s="1"/>
      <x:c r="F5" s="1"/>
      <x:c r="G5" s="1"/>
      <x:c r="H5" s="1"/>
    </x:row>
    <x:row r="6" ht="29" customHeight="1">
      <x:c r="A6" s="5" t="str">
        <x:v>工作页</x:v>
      </x:c>
      <x:c r="B6" s="5" t="str">
        <x:v>任务</x:v>
      </x:c>
      <x:c r="C6" s="5" t="str">
        <x:v>可改输入</x:v>
      </x:c>
      <x:c r="D6" s="5" t="str">
        <x:v>结果</x:v>
      </x:c>
      <x:c r="E6" s="1"/>
      <x:c r="F6" s="1"/>
      <x:c r="G6" s="1"/>
      <x:c r="H6" s="1"/>
    </x:row>
    <x:row r="7" ht="50" customHeight="1">
      <x:c r="A7" s="6" t="str">
        <x:v>配装预算</x:v>
      </x:c>
      <x:c r="B7" s="6" t="str">
        <x:v>一次新增采购</x:v>
      </x:c>
      <x:c r="C7" s="6" t="str">
        <x:v>阵营、现金、物品、数量、购买条件</x:v>
      </x:c>
      <x:c r="D7" s="6" t="str">
        <x:v>成本、缺口、资格</x:v>
      </x:c>
    </x:row>
    <x:row r="8" ht="50" customHeight="1">
      <x:c r="A8" s="6" t="str">
        <x:v>回合预算</x:v>
      </x:c>
      <x:c r="B8" s="6" t="str">
        <x:v>同一半场单人预算</x:v>
      </x:c>
      <x:c r="C8" s="6" t="str">
        <x:v>支出、击杀收入、结果、个人状态</x:v>
      </x:c>
      <x:c r="D8" s="6" t="str">
        <x:v>下回合现金与档位</x:v>
      </x:c>
    </x:row>
    <x:row r="9" ht="50" customHeight="1">
      <x:c r="A9" s="6" t="str">
        <x:v>现金账本</x:v>
      </x:c>
      <x:c r="B9" s="6" t="str">
        <x:v>按顺序入账</x:v>
      </x:c>
      <x:c r="C9" s="6" t="str">
        <x:v>事件、金额／数量、实例、资格</x:v>
      </x:c>
      <x:c r="D9" s="6" t="str">
        <x:v>拒绝、退款、防重与封顶</x:v>
      </x:c>
    </x:row>
    <x:row r="10" ht="50" customHeight="1">
      <x:c r="A10" s="6" t="str">
        <x:v>规则与配置</x:v>
      </x:c>
      <x:c r="B10" s="6" t="str">
        <x:v>查证规则和例外</x:v>
      </x:c>
      <x:c r="C10" s="6" t="str">
        <x:v>来源数据单列</x:v>
      </x:c>
      <x:c r="D10" s="6" t="str">
        <x:v>45项配置、30个手算用例</x:v>
      </x:c>
    </x:row>
    <x:row r="11" ht="29" customHeight="1"/>
    <x:row r="12" ht="29" customHeight="1"/>
    <x:row r="13" ht="29" customHeight="1">
      <x:c r="A13" s="7" t="str">
        <x:v>输入与结果</x:v>
      </x:c>
    </x:row>
    <x:row r="14" ht="29" customHeight="1">
      <x:c r="A14" t="str">
        <x:v>浅黄色可编辑。白色公式随输入重算；演算示例不代表实际比赛记录。</x:v>
      </x:c>
    </x:row>
    <x:row r="15" ht="29" customHeight="1"/>
    <x:row r="16" ht="29" customHeight="1">
      <x:c r="A16" s="7" t="str">
        <x:v>版本依据</x:v>
      </x:c>
    </x:row>
    <x:row r="17" ht="29" customHeight="1">
      <x:c r="A17" t="str">
        <x:v>Valve公告与公开游戏文件交叉核查。SteamDatabase是第三方镜像，来源表保留固定提交。</x:v>
      </x:c>
    </x:row>
    <x:row r="18" ht="29" customHeight="1"/>
    <x:row r="19" ht="29" customHeight="1">
      <x:c r="A19" t="str">
        <x:v>固定提交</x:v>
      </x:c>
    </x:row>
    <x:row r="20" ht="29" customHeight="1">
      <x:c r="A20" t="str">
        <x:v>5ab573fa8afb5b8db98869d79ed79399fca6e747</x:v>
      </x:c>
    </x:row>
    <x:row r="21" ht="29" customHeight="1"/>
    <x:row r="22" ht="29" customHeight="1">
      <x:c r="A22" s="7" t="str">
        <x:v>使用边界</x:v>
      </x:c>
    </x:row>
    <x:row r="23" ht="29" customHeight="1">
      <x:c r="A23" t="str">
        <x:v>加时单列配置。人质、休闲、搭档、Rush、死斗、回防与饰品市场不套用本册预算。</x:v>
      </x:c>
    </x:row>
    <x:row r="24" ht="29" customHeight="1"/>
    <x:row r="25" ht="29" customHeight="1">
      <x:c r="A25" t="str">
        <x:v>保留装备不重复计价；旧甲补买、异常死亡归属及短人补偿按待验证表处理。</x:v>
      </x:c>
    </x:row>
    <x:row r="26" ht="29" customHeight="1"/>
    <x:row r="27" ht="29" customHeight="1">
      <x:c r="A27" t="str">
        <x:v>这是公开规则的系统策划分析与演算材料，不代表参与Valve设计或完成客户端全矩阵实测。</x:v>
      </x:c>
    </x:row>
    <x:row r="28" ht="29" customHeight="1"/>
    <x:row r="29" ht="29" customHeight="1"/>
    <x:row r="30" ht="29" customHeight="1"/>
    <x:row r="31" ht="29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C8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12" hidden="0" customWidth="1"/>
    <x:col min="5" max="5" width="15" hidden="0" customWidth="1"/>
    <x:col min="6" max="6" width="17" hidden="0" customWidth="1"/>
    <x:col min="7" max="7" width="18" hidden="0" customWidth="1"/>
    <x:col min="8" max="8" width="20" hidden="0" customWidth="1"/>
    <x:col min="9" max="9" width="18" hidden="0" customWidth="1"/>
    <x:col min="10" max="10" width="25" hidden="0" customWidth="1"/>
    <x:col min="11" max="11" width="2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2" t="str">
        <x:v>新增配装预算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3" customHeight="1">
      <x:c r="A4" s="19" t="str">
        <x:v>阵营</x:v>
      </x:c>
      <x:c r="B4" s="26" t="str">
        <x:v>T</x:v>
      </x:c>
      <x:c r="C4" s="1"/>
      <x:c r="D4" s="1" t="str">
        <x:v>个人现金</x:v>
      </x:c>
      <x:c r="E4" s="27" t="n">
        <x:v>4800</x:v>
      </x:c>
      <x:c r="F4" s="1"/>
      <x:c r="G4" s="1" t="str">
        <x:v>购买区内</x:v>
      </x:c>
      <x:c r="H4" s="26" t="str">
        <x:v>是</x:v>
      </x:c>
      <x:c r="I4" s="1"/>
      <x:c r="J4" s="1" t="str">
        <x:v>窗口开放</x:v>
      </x:c>
      <x:c r="K4" s="26" t="str">
        <x:v>是</x:v>
      </x:c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4" customHeight="1">
      <x:c r="A6" s="14" t="str">
        <x:v>槽位</x:v>
      </x:c>
      <x:c r="B6" s="15" t="str">
        <x:v>物品ID</x:v>
      </x:c>
      <x:c r="C6" s="15" t="str">
        <x:v>物品名称</x:v>
      </x:c>
      <x:c r="D6" s="15" t="str">
        <x:v>数量</x:v>
      </x:c>
      <x:c r="E6" s="15" t="str">
        <x:v>单价</x:v>
      </x:c>
      <x:c r="F6" s="15" t="str">
        <x:v>小计</x:v>
      </x:c>
      <x:c r="G6" s="15" t="str">
        <x:v>阵营</x:v>
      </x:c>
      <x:c r="H6" s="15" t="str">
        <x:v>配装已包含</x:v>
      </x:c>
      <x:c r="I6" s="15" t="str">
        <x:v>类别</x:v>
      </x:c>
      <x:c r="J6" s="15" t="str">
        <x:v>输入检查</x:v>
      </x:c>
      <x:c r="K6" s="16" t="str">
        <x:v>槽位检查</x:v>
      </x:c>
    </x:row>
    <x:row r="7" ht="28" customHeight="1">
      <x:c r="A7" s="9" t="str">
        <x:v>主枪</x:v>
      </x:c>
      <x:c r="B7" s="28" t="str">
        <x:v>weapon_ak47</x:v>
      </x:c>
      <x:c r="C7" s="9" t="str">
        <x:f>IF(D7=0,"未选",IF(COUNTIFS('价格配置'!$A$7:$A$51,B7)=1,INDEX('价格配置'!$B$7:$B$51,MATCH(B7,'价格配置'!$A$7:$A$51,0)),"ID待核"))</x:f>
        <x:v>AK-47</x:v>
      </x:c>
      <x:c r="D7" s="29" t="n">
        <x:v>1</x:v>
      </x:c>
      <x:c r="E7" s="30" t="n">
        <x:f>IF(D7=0,0,IF(COUNTIFS('价格配置'!$A$7:$A$51,B7)=1,INDEX('价格配置'!$E$7:$E$51,MATCH(B7,'价格配置'!$A$7:$A$51,0)),"待核"))</x:f>
        <x:v>2700</x:v>
      </x:c>
      <x:c r="F7" s="30" t="n">
        <x:f>IF(NOT(ISNUMBER(D7)),"数量待核",IF(D7=0,0,IF(ISNUMBER(E7),E7*D7,"待核")))</x:f>
        <x:v>2700</x:v>
      </x:c>
      <x:c r="G7" s="9" t="str">
        <x:f>IF(D7=0,"不适用",IF(COUNTIFS('价格配置'!$A$7:$A$51,B7)&lt;&gt;1,"ID待核",IF(OR(INDEX('价格配置'!$D$7:$D$51,MATCH(B7,'价格配置'!$A$7:$A$51,0))=$B$4,INDEX('价格配置'!$D$7:$D$51,MATCH(B7,'价格配置'!$A$7:$A$51,0))="T/CT"),"符合","阵营不符")))</x:f>
        <x:v>符合</x:v>
      </x:c>
      <x:c r="H7" s="28" t="str">
        <x:v>是</x:v>
      </x:c>
      <x:c r="I7" s="9" t="str">
        <x:f>IF(D7=0,"未选",IF(COUNTIFS('价格配置'!$A$7:$A$51,B7)=1,INDEX('价格配置'!$C$7:$C$51,MATCH(B7,'价格配置'!$A$7:$A$51,0)),"待核"))</x:f>
        <x:v>步枪</x:v>
      </x:c>
      <x:c r="J7" s="9" t="str">
        <x:f>IF(NOT(ISNUMBER(D7)),"数量无效",IF(OR(D7&lt;0,D7&lt;&gt;INT(D7)),"数量无效",IF(D7=0,"不适用",IF(COUNTIFS('价格配置'!$A$7:$A$51,B7)&lt;&gt;1,"ID待核",IF(SUMIFS($D$7:$D$15,$B$7:$B$15,B7)&gt;IF(B7="weapon_flashbang",'模式参数'!$D$24,1),"数量超限","有效")))))</x:f>
        <x:v>有效</x:v>
      </x:c>
      <x:c r="K7" s="9" t="str">
        <x:f>IF(D7=0,"不适用",IF(OR(I7="步枪",I7="狙击枪",I7="冲锋枪",I7="机枪",I7="霰弹枪"),"符合","槽位不符"))</x:f>
        <x:v>符合</x:v>
      </x:c>
    </x:row>
    <x:row r="8" ht="28" customHeight="1">
      <x:c r="A8" s="17" t="str">
        <x:v>副枪</x:v>
      </x:c>
      <x:c r="B8" s="28" t="str"/>
      <x:c r="C8" s="17" t="str">
        <x:f>IF(D8=0,"未选",IF(COUNTIFS('价格配置'!$A$7:$A$51,B8)=1,INDEX('价格配置'!$B$7:$B$51,MATCH(B8,'价格配置'!$A$7:$A$51,0)),"ID待核"))</x:f>
        <x:v>未选</x:v>
      </x:c>
      <x:c r="D8" s="29" t="n">
        <x:v>0</x:v>
      </x:c>
      <x:c r="E8" s="31" t="n">
        <x:f>IF(D8=0,0,IF(COUNTIFS('价格配置'!$A$7:$A$51,B8)=1,INDEX('价格配置'!$E$7:$E$51,MATCH(B8,'价格配置'!$A$7:$A$51,0)),"待核"))</x:f>
        <x:v>0</x:v>
      </x:c>
      <x:c r="F8" s="31" t="n">
        <x:f>IF(NOT(ISNUMBER(D8)),"数量待核",IF(D8=0,0,IF(ISNUMBER(E8),E8*D8,"待核")))</x:f>
        <x:v>0</x:v>
      </x:c>
      <x:c r="G8" s="17" t="str">
        <x:f>IF(D8=0,"不适用",IF(COUNTIFS('价格配置'!$A$7:$A$51,B8)&lt;&gt;1,"ID待核",IF(OR(INDEX('价格配置'!$D$7:$D$51,MATCH(B8,'价格配置'!$A$7:$A$51,0))=$B$4,INDEX('价格配置'!$D$7:$D$51,MATCH(B8,'价格配置'!$A$7:$A$51,0))="T/CT"),"符合","阵营不符")))</x:f>
        <x:v>不适用</x:v>
      </x:c>
      <x:c r="H8" s="28" t="str">
        <x:v>是</x:v>
      </x:c>
      <x:c r="I8" s="17" t="str">
        <x:f>IF(D8=0,"未选",IF(COUNTIFS('价格配置'!$A$7:$A$51,B8)=1,INDEX('价格配置'!$C$7:$C$51,MATCH(B8,'价格配置'!$A$7:$A$51,0)),"待核"))</x:f>
        <x:v>未选</x:v>
      </x:c>
      <x:c r="J8" s="17" t="str">
        <x:f>IF(NOT(ISNUMBER(D8)),"数量无效",IF(OR(D8&lt;0,D8&lt;&gt;INT(D8)),"数量无效",IF(D8=0,"不适用",IF(COUNTIFS('价格配置'!$A$7:$A$51,B8)&lt;&gt;1,"ID待核",IF(SUMIFS($D$7:$D$15,$B$7:$B$15,B8)&gt;IF(B8="weapon_flashbang",'模式参数'!$D$24,1),"数量超限","有效")))))</x:f>
        <x:v>不适用</x:v>
      </x:c>
      <x:c r="K8" s="17" t="str">
        <x:f>IF(D8=0,"不适用",IF(I8="手枪","符合","槽位不符"))</x:f>
        <x:v>不适用</x:v>
      </x:c>
    </x:row>
    <x:row r="9" ht="28" customHeight="1">
      <x:c r="A9" s="9" t="str">
        <x:v>护甲</x:v>
      </x:c>
      <x:c r="B9" s="28" t="str">
        <x:v>item_assaultsuit</x:v>
      </x:c>
      <x:c r="C9" s="9" t="str">
        <x:f>IF(D9=0,"未选",IF(COUNTIFS('价格配置'!$A$7:$A$51,B9)=1,INDEX('价格配置'!$B$7:$B$51,MATCH(B9,'价格配置'!$A$7:$A$51,0)),"ID待核"))</x:f>
        <x:v>Kevlar &amp; Helmet</x:v>
      </x:c>
      <x:c r="D9" s="29" t="n">
        <x:v>1</x:v>
      </x:c>
      <x:c r="E9" s="30" t="n">
        <x:f>IF(D9=0,0,IF(COUNTIFS('价格配置'!$A$7:$A$51,B9)=1,INDEX('价格配置'!$E$7:$E$51,MATCH(B9,'价格配置'!$A$7:$A$51,0)),"待核"))</x:f>
        <x:v>1000</x:v>
      </x:c>
      <x:c r="F9" s="30" t="n">
        <x:f>IF(NOT(ISNUMBER(D9)),"数量待核",IF(D9=0,0,IF(ISNUMBER(E9),E9*D9,"待核")))</x:f>
        <x:v>1000</x:v>
      </x:c>
      <x:c r="G9" s="9" t="str">
        <x:f>IF(D9=0,"不适用",IF(COUNTIFS('价格配置'!$A$7:$A$51,B9)&lt;&gt;1,"ID待核",IF(OR(INDEX('价格配置'!$D$7:$D$51,MATCH(B9,'价格配置'!$A$7:$A$51,0))=$B$4,INDEX('价格配置'!$D$7:$D$51,MATCH(B9,'价格配置'!$A$7:$A$51,0))="T/CT"),"符合","阵营不符")))</x:f>
        <x:v>符合</x:v>
      </x:c>
      <x:c r="H9" s="28" t="str">
        <x:v>是</x:v>
      </x:c>
      <x:c r="I9" s="9" t="str">
        <x:f>IF(D9=0,"未选",IF(COUNTIFS('价格配置'!$A$7:$A$51,B9)=1,INDEX('价格配置'!$C$7:$C$51,MATCH(B9,'价格配置'!$A$7:$A$51,0)),"待核"))</x:f>
        <x:v>防具</x:v>
      </x:c>
      <x:c r="J9" s="9" t="str">
        <x:f>IF(NOT(ISNUMBER(D9)),"数量无效",IF(OR(D9&lt;0,D9&lt;&gt;INT(D9)),"数量无效",IF(D9=0,"不适用",IF(COUNTIFS('价格配置'!$A$7:$A$51,B9)&lt;&gt;1,"ID待核",IF(SUMIFS($D$7:$D$15,$B$7:$B$15,B9)&gt;IF(B9="weapon_flashbang",'模式参数'!$D$24,1),"数量超限","有效")))))</x:f>
        <x:v>有效</x:v>
      </x:c>
      <x:c r="K9" s="9" t="str">
        <x:f>IF(D9=0,"不适用",IF(I9="防具","符合","槽位不符"))</x:f>
        <x:v>符合</x:v>
      </x:c>
    </x:row>
    <x:row r="10" ht="28" customHeight="1">
      <x:c r="A10" s="17" t="str">
        <x:v>工具</x:v>
      </x:c>
      <x:c r="B10" s="28" t="str"/>
      <x:c r="C10" s="17" t="str">
        <x:f>IF(D10=0,"未选",IF(COUNTIFS('价格配置'!$A$7:$A$51,B10)=1,INDEX('价格配置'!$B$7:$B$51,MATCH(B10,'价格配置'!$A$7:$A$51,0)),"ID待核"))</x:f>
        <x:v>未选</x:v>
      </x:c>
      <x:c r="D10" s="29" t="n">
        <x:v>0</x:v>
      </x:c>
      <x:c r="E10" s="31" t="n">
        <x:f>IF(D10=0,0,IF(COUNTIFS('价格配置'!$A$7:$A$51,B10)=1,INDEX('价格配置'!$E$7:$E$51,MATCH(B10,'价格配置'!$A$7:$A$51,0)),"待核"))</x:f>
        <x:v>0</x:v>
      </x:c>
      <x:c r="F10" s="31" t="n">
        <x:f>IF(NOT(ISNUMBER(D10)),"数量待核",IF(D10=0,0,IF(ISNUMBER(E10),E10*D10,"待核")))</x:f>
        <x:v>0</x:v>
      </x:c>
      <x:c r="G10" s="17" t="str">
        <x:f>IF(D10=0,"不适用",IF(COUNTIFS('价格配置'!$A$7:$A$51,B10)&lt;&gt;1,"ID待核",IF(OR(INDEX('价格配置'!$D$7:$D$51,MATCH(B10,'价格配置'!$A$7:$A$51,0))=$B$4,INDEX('价格配置'!$D$7:$D$51,MATCH(B10,'价格配置'!$A$7:$A$51,0))="T/CT"),"符合","阵营不符")))</x:f>
        <x:v>不适用</x:v>
      </x:c>
      <x:c r="H10" s="28" t="str">
        <x:v>是</x:v>
      </x:c>
      <x:c r="I10" s="17" t="str">
        <x:f>IF(D10=0,"未选",IF(COUNTIFS('价格配置'!$A$7:$A$51,B10)=1,INDEX('价格配置'!$C$7:$C$51,MATCH(B10,'价格配置'!$A$7:$A$51,0)),"待核"))</x:f>
        <x:v>未选</x:v>
      </x:c>
      <x:c r="J10" s="17" t="str">
        <x:f>IF(NOT(ISNUMBER(D10)),"数量无效",IF(OR(D10&lt;0,D10&lt;&gt;INT(D10)),"数量无效",IF(D10=0,"不适用",IF(COUNTIFS('价格配置'!$A$7:$A$51,B10)&lt;&gt;1,"ID待核",IF(SUMIFS($D$7:$D$15,$B$7:$B$15,B10)&gt;IF(B10="weapon_flashbang",'模式参数'!$D$24,1),"数量超限","有效")))))</x:f>
        <x:v>不适用</x:v>
      </x:c>
      <x:c r="K10" s="17" t="str">
        <x:f>IF(D10=0,"不适用",IF(I10="功能装备","符合","槽位不符"))</x:f>
        <x:v>不适用</x:v>
      </x:c>
    </x:row>
    <x:row r="11" ht="28" customHeight="1">
      <x:c r="A11" s="9" t="str">
        <x:v>道具1</x:v>
      </x:c>
      <x:c r="B11" s="28" t="str">
        <x:v>weapon_smokegrenade</x:v>
      </x:c>
      <x:c r="C11" s="9" t="str">
        <x:f>IF(D11=0,"未选",IF(COUNTIFS('价格配置'!$A$7:$A$51,B11)=1,INDEX('价格配置'!$B$7:$B$51,MATCH(B11,'价格配置'!$A$7:$A$51,0)),"ID待核"))</x:f>
        <x:v>Smoke Grenade</x:v>
      </x:c>
      <x:c r="D11" s="29" t="n">
        <x:v>1</x:v>
      </x:c>
      <x:c r="E11" s="30" t="n">
        <x:f>IF(D11=0,0,IF(COUNTIFS('价格配置'!$A$7:$A$51,B11)=1,INDEX('价格配置'!$E$7:$E$51,MATCH(B11,'价格配置'!$A$7:$A$51,0)),"待核"))</x:f>
        <x:v>300</x:v>
      </x:c>
      <x:c r="F11" s="30" t="n">
        <x:f>IF(NOT(ISNUMBER(D11)),"数量待核",IF(D11=0,0,IF(ISNUMBER(E11),E11*D11,"待核")))</x:f>
        <x:v>300</x:v>
      </x:c>
      <x:c r="G11" s="9" t="str">
        <x:f>IF(D11=0,"不适用",IF(COUNTIFS('价格配置'!$A$7:$A$51,B11)&lt;&gt;1,"ID待核",IF(OR(INDEX('价格配置'!$D$7:$D$51,MATCH(B11,'价格配置'!$A$7:$A$51,0))=$B$4,INDEX('价格配置'!$D$7:$D$51,MATCH(B11,'价格配置'!$A$7:$A$51,0))="T/CT"),"符合","阵营不符")))</x:f>
        <x:v>符合</x:v>
      </x:c>
      <x:c r="H11" s="28" t="str">
        <x:v>是</x:v>
      </x:c>
      <x:c r="I11" s="9" t="str">
        <x:f>IF(D11=0,"未选",IF(COUNTIFS('价格配置'!$A$7:$A$51,B11)=1,INDEX('价格配置'!$C$7:$C$51,MATCH(B11,'价格配置'!$A$7:$A$51,0)),"待核"))</x:f>
        <x:v>投掷物</x:v>
      </x:c>
      <x:c r="J11" s="9" t="str">
        <x:f>IF(NOT(ISNUMBER(D11)),"数量无效",IF(OR(D11&lt;0,D11&lt;&gt;INT(D11)),"数量无效",IF(D11=0,"不适用",IF(COUNTIFS('价格配置'!$A$7:$A$51,B11)&lt;&gt;1,"ID待核",IF(SUMIFS($D$7:$D$15,$B$7:$B$15,B11)&gt;IF(B11="weapon_flashbang",'模式参数'!$D$24,1),"数量超限","有效")))))</x:f>
        <x:v>有效</x:v>
      </x:c>
      <x:c r="K11" s="9" t="str">
        <x:f>IF(D11=0,"不适用",IF(I11="投掷物","符合","槽位不符"))</x:f>
        <x:v>符合</x:v>
      </x:c>
    </x:row>
    <x:row r="12" ht="28" customHeight="1">
      <x:c r="A12" s="17" t="str">
        <x:v>道具2</x:v>
      </x:c>
      <x:c r="B12" s="28" t="str">
        <x:v>weapon_flashbang</x:v>
      </x:c>
      <x:c r="C12" s="17" t="str">
        <x:f>IF(D12=0,"未选",IF(COUNTIFS('价格配置'!$A$7:$A$51,B12)=1,INDEX('价格配置'!$B$7:$B$51,MATCH(B12,'价格配置'!$A$7:$A$51,0)),"ID待核"))</x:f>
        <x:v>Flashbang</x:v>
      </x:c>
      <x:c r="D12" s="29" t="n">
        <x:v>2</x:v>
      </x:c>
      <x:c r="E12" s="31" t="n">
        <x:f>IF(D12=0,0,IF(COUNTIFS('价格配置'!$A$7:$A$51,B12)=1,INDEX('价格配置'!$E$7:$E$51,MATCH(B12,'价格配置'!$A$7:$A$51,0)),"待核"))</x:f>
        <x:v>200</x:v>
      </x:c>
      <x:c r="F12" s="31" t="n">
        <x:f>IF(NOT(ISNUMBER(D12)),"数量待核",IF(D12=0,0,IF(ISNUMBER(E12),E12*D12,"待核")))</x:f>
        <x:v>400</x:v>
      </x:c>
      <x:c r="G12" s="17" t="str">
        <x:f>IF(D12=0,"不适用",IF(COUNTIFS('价格配置'!$A$7:$A$51,B12)&lt;&gt;1,"ID待核",IF(OR(INDEX('价格配置'!$D$7:$D$51,MATCH(B12,'价格配置'!$A$7:$A$51,0))=$B$4,INDEX('价格配置'!$D$7:$D$51,MATCH(B12,'价格配置'!$A$7:$A$51,0))="T/CT"),"符合","阵营不符")))</x:f>
        <x:v>符合</x:v>
      </x:c>
      <x:c r="H12" s="28" t="str">
        <x:v>是</x:v>
      </x:c>
      <x:c r="I12" s="17" t="str">
        <x:f>IF(D12=0,"未选",IF(COUNTIFS('价格配置'!$A$7:$A$51,B12)=1,INDEX('价格配置'!$C$7:$C$51,MATCH(B12,'价格配置'!$A$7:$A$51,0)),"待核"))</x:f>
        <x:v>投掷物</x:v>
      </x:c>
      <x:c r="J12" s="17" t="str">
        <x:f>IF(NOT(ISNUMBER(D12)),"数量无效",IF(OR(D12&lt;0,D12&lt;&gt;INT(D12)),"数量无效",IF(D12=0,"不适用",IF(COUNTIFS('价格配置'!$A$7:$A$51,B12)&lt;&gt;1,"ID待核",IF(SUMIFS($D$7:$D$15,$B$7:$B$15,B12)&gt;IF(B12="weapon_flashbang",'模式参数'!$D$24,1),"数量超限","有效")))))</x:f>
        <x:v>有效</x:v>
      </x:c>
      <x:c r="K12" s="17" t="str">
        <x:f>IF(D12=0,"不适用",IF(I12="投掷物","符合","槽位不符"))</x:f>
        <x:v>符合</x:v>
      </x:c>
    </x:row>
    <x:row r="13" ht="28" customHeight="1">
      <x:c r="A13" s="9" t="str">
        <x:v>道具3</x:v>
      </x:c>
      <x:c r="B13" s="28" t="str">
        <x:v>weapon_molotov</x:v>
      </x:c>
      <x:c r="C13" s="9" t="str">
        <x:f>IF(D13=0,"未选",IF(COUNTIFS('价格配置'!$A$7:$A$51,B13)=1,INDEX('价格配置'!$B$7:$B$51,MATCH(B13,'价格配置'!$A$7:$A$51,0)),"ID待核"))</x:f>
        <x:v>Molotov</x:v>
      </x:c>
      <x:c r="D13" s="29" t="n">
        <x:v>1</x:v>
      </x:c>
      <x:c r="E13" s="30" t="n">
        <x:f>IF(D13=0,0,IF(COUNTIFS('价格配置'!$A$7:$A$51,B13)=1,INDEX('价格配置'!$E$7:$E$51,MATCH(B13,'价格配置'!$A$7:$A$51,0)),"待核"))</x:f>
        <x:v>400</x:v>
      </x:c>
      <x:c r="F13" s="30" t="n">
        <x:f>IF(NOT(ISNUMBER(D13)),"数量待核",IF(D13=0,0,IF(ISNUMBER(E13),E13*D13,"待核")))</x:f>
        <x:v>400</x:v>
      </x:c>
      <x:c r="G13" s="9" t="str">
        <x:f>IF(D13=0,"不适用",IF(COUNTIFS('价格配置'!$A$7:$A$51,B13)&lt;&gt;1,"ID待核",IF(OR(INDEX('价格配置'!$D$7:$D$51,MATCH(B13,'价格配置'!$A$7:$A$51,0))=$B$4,INDEX('价格配置'!$D$7:$D$51,MATCH(B13,'价格配置'!$A$7:$A$51,0))="T/CT"),"符合","阵营不符")))</x:f>
        <x:v>符合</x:v>
      </x:c>
      <x:c r="H13" s="28" t="str">
        <x:v>是</x:v>
      </x:c>
      <x:c r="I13" s="9" t="str">
        <x:f>IF(D13=0,"未选",IF(COUNTIFS('价格配置'!$A$7:$A$51,B13)=1,INDEX('价格配置'!$C$7:$C$51,MATCH(B13,'价格配置'!$A$7:$A$51,0)),"待核"))</x:f>
        <x:v>投掷物</x:v>
      </x:c>
      <x:c r="J13" s="9" t="str">
        <x:f>IF(NOT(ISNUMBER(D13)),"数量无效",IF(OR(D13&lt;0,D13&lt;&gt;INT(D13)),"数量无效",IF(D13=0,"不适用",IF(COUNTIFS('价格配置'!$A$7:$A$51,B13)&lt;&gt;1,"ID待核",IF(SUMIFS($D$7:$D$15,$B$7:$B$15,B13)&gt;IF(B13="weapon_flashbang",'模式参数'!$D$24,1),"数量超限","有效")))))</x:f>
        <x:v>有效</x:v>
      </x:c>
      <x:c r="K13" s="9" t="str">
        <x:f>IF(D13=0,"不适用",IF(I13="投掷物","符合","槽位不符"))</x:f>
        <x:v>符合</x:v>
      </x:c>
    </x:row>
    <x:row r="14" ht="28" customHeight="1">
      <x:c r="A14" s="17" t="str">
        <x:v>道具4</x:v>
      </x:c>
      <x:c r="B14" s="28" t="str"/>
      <x:c r="C14" s="17" t="str">
        <x:f>IF(D14=0,"未选",IF(COUNTIFS('价格配置'!$A$7:$A$51,B14)=1,INDEX('价格配置'!$B$7:$B$51,MATCH(B14,'价格配置'!$A$7:$A$51,0)),"ID待核"))</x:f>
        <x:v>未选</x:v>
      </x:c>
      <x:c r="D14" s="29" t="n">
        <x:v>0</x:v>
      </x:c>
      <x:c r="E14" s="31" t="n">
        <x:f>IF(D14=0,0,IF(COUNTIFS('价格配置'!$A$7:$A$51,B14)=1,INDEX('价格配置'!$E$7:$E$51,MATCH(B14,'价格配置'!$A$7:$A$51,0)),"待核"))</x:f>
        <x:v>0</x:v>
      </x:c>
      <x:c r="F14" s="31" t="n">
        <x:f>IF(NOT(ISNUMBER(D14)),"数量待核",IF(D14=0,0,IF(ISNUMBER(E14),E14*D14,"待核")))</x:f>
        <x:v>0</x:v>
      </x:c>
      <x:c r="G14" s="17" t="str">
        <x:f>IF(D14=0,"不适用",IF(COUNTIFS('价格配置'!$A$7:$A$51,B14)&lt;&gt;1,"ID待核",IF(OR(INDEX('价格配置'!$D$7:$D$51,MATCH(B14,'价格配置'!$A$7:$A$51,0))=$B$4,INDEX('价格配置'!$D$7:$D$51,MATCH(B14,'价格配置'!$A$7:$A$51,0))="T/CT"),"符合","阵营不符")))</x:f>
        <x:v>不适用</x:v>
      </x:c>
      <x:c r="H14" s="28" t="str">
        <x:v>是</x:v>
      </x:c>
      <x:c r="I14" s="17" t="str">
        <x:f>IF(D14=0,"未选",IF(COUNTIFS('价格配置'!$A$7:$A$51,B14)=1,INDEX('价格配置'!$C$7:$C$51,MATCH(B14,'价格配置'!$A$7:$A$51,0)),"待核"))</x:f>
        <x:v>未选</x:v>
      </x:c>
      <x:c r="J14" s="17" t="str">
        <x:f>IF(NOT(ISNUMBER(D14)),"数量无效",IF(OR(D14&lt;0,D14&lt;&gt;INT(D14)),"数量无效",IF(D14=0,"不适用",IF(COUNTIFS('价格配置'!$A$7:$A$51,B14)&lt;&gt;1,"ID待核",IF(SUMIFS($D$7:$D$15,$B$7:$B$15,B14)&gt;IF(B14="weapon_flashbang",'模式参数'!$D$24,1),"数量超限","有效")))))</x:f>
        <x:v>不适用</x:v>
      </x:c>
      <x:c r="K14" s="17" t="str">
        <x:f>IF(D14=0,"不适用",IF(I14="投掷物","符合","槽位不符"))</x:f>
        <x:v>不适用</x:v>
      </x:c>
    </x:row>
    <x:row r="15" ht="28" customHeight="1">
      <x:c r="A15" s="9" t="str">
        <x:v>额外装备</x:v>
      </x:c>
      <x:c r="B15" s="28" t="str"/>
      <x:c r="C15" s="9" t="str">
        <x:f>IF(D15=0,"未选",IF(COUNTIFS('价格配置'!$A$7:$A$51,B15)=1,INDEX('价格配置'!$B$7:$B$51,MATCH(B15,'价格配置'!$A$7:$A$51,0)),"ID待核"))</x:f>
        <x:v>未选</x:v>
      </x:c>
      <x:c r="D15" s="29" t="n">
        <x:v>0</x:v>
      </x:c>
      <x:c r="E15" s="30" t="n">
        <x:f>IF(D15=0,0,IF(COUNTIFS('价格配置'!$A$7:$A$51,B15)=1,INDEX('价格配置'!$E$7:$E$51,MATCH(B15,'价格配置'!$A$7:$A$51,0)),"待核"))</x:f>
        <x:v>0</x:v>
      </x:c>
      <x:c r="F15" s="30" t="n">
        <x:f>IF(NOT(ISNUMBER(D15)),"数量待核",IF(D15=0,0,IF(ISNUMBER(E15),E15*D15,"待核")))</x:f>
        <x:v>0</x:v>
      </x:c>
      <x:c r="G15" s="9" t="str">
        <x:f>IF(D15=0,"不适用",IF(COUNTIFS('价格配置'!$A$7:$A$51,B15)&lt;&gt;1,"ID待核",IF(OR(INDEX('价格配置'!$D$7:$D$51,MATCH(B15,'价格配置'!$A$7:$A$51,0))=$B$4,INDEX('价格配置'!$D$7:$D$51,MATCH(B15,'价格配置'!$A$7:$A$51,0))="T/CT"),"符合","阵营不符")))</x:f>
        <x:v>不适用</x:v>
      </x:c>
      <x:c r="H15" s="28" t="str">
        <x:v>是</x:v>
      </x:c>
      <x:c r="I15" s="9" t="str">
        <x:f>IF(D15=0,"未选",IF(COUNTIFS('价格配置'!$A$7:$A$51,B15)=1,INDEX('价格配置'!$C$7:$C$51,MATCH(B15,'价格配置'!$A$7:$A$51,0)),"待核"))</x:f>
        <x:v>未选</x:v>
      </x:c>
      <x:c r="J15" s="9" t="str">
        <x:f>IF(NOT(ISNUMBER(D15)),"数量无效",IF(OR(D15&lt;0,D15&lt;&gt;INT(D15)),"数量无效",IF(D15=0,"不适用",IF(COUNTIFS('价格配置'!$A$7:$A$51,B15)&lt;&gt;1,"ID待核",IF(SUMIFS($D$7:$D$15,$B$7:$B$15,B15)&gt;IF(B15="weapon_flashbang",'模式参数'!$D$24,1),"数量超限","有效")))))</x:f>
        <x:v>不适用</x:v>
      </x:c>
      <x:c r="K15" s="9" t="str">
        <x:f>IF(D15=0,"不适用",IF(I15="电击器","符合","槽位不符"))</x:f>
        <x:v>不适用</x:v>
      </x:c>
    </x:row>
    <x:row r="18">
      <x:c r="A18" s="7" t="str">
        <x:v>本次采购金额</x:v>
      </x:c>
      <x:c r="B18" s="32" t="n">
        <x:f>IF(COUNTIFS(J7:J15,"ID待核")+COUNTIFS(J7:J15,"数量无效")+COUNTIFS(J7:J15,"数量超限")&gt;0,"待核",SUM(F7:F15))</x:f>
        <x:v>4800</x:v>
      </x:c>
      <x:c r="D18" t="str">
        <x:v>预算不把团队总现金当个人钱包，也不把已保留枪械按原价折现。</x:v>
      </x:c>
    </x:row>
    <x:row r="19">
      <x:c r="A19" s="7" t="str">
        <x:v>个人资金缺口</x:v>
      </x:c>
      <x:c r="B19" s="32" t="n">
        <x:f>IF(ISNUMBER(B18),MAX(0,B18-E4),"待核")</x:f>
        <x:v>0</x:v>
      </x:c>
    </x:row>
    <x:row r="20">
      <x:c r="A20" s="7" t="str">
        <x:v>购买后现金</x:v>
      </x:c>
      <x:c r="B20" s="32" t="n">
        <x:f>IF(B22="可购",E4-B18,"不执行购买")</x:f>
        <x:v>0</x:v>
      </x:c>
      <x:c r="D20" t="str">
        <x:v>当前样例为T方AK、完整甲、烟、双闪、燃烧瓶，共4枚道具。</x:v>
      </x:c>
    </x:row>
    <x:row r="21">
      <x:c r="A21" s="7" t="str">
        <x:v>新增投掷物数</x:v>
      </x:c>
      <x:c r="B21" t="n">
        <x:f>SUMIFS(D7:D15,I7:I15,"投掷物")</x:f>
        <x:v>4</x:v>
      </x:c>
    </x:row>
    <x:row r="22">
      <x:c r="A22" s="7" t="str">
        <x:v>资格结论</x:v>
      </x:c>
      <x:c r="B22" t="str">
        <x:f>IF(AND(ISNUMBER(B18),ISNUMBER(E4),E4&gt;=B18,E4&gt;=0,E4&lt;='模式参数'!$D$10,OR(B4="T",B4="CT"),H4="是",K4="是",COUNTIFS(G7:G15,"阵营不符")=0,COUNTIFS(H7:H15,"是",D7:D15,"&gt;0")=COUNTIFS(D7:D15,"&gt;0"),COUNTIFS(K7:K15,"槽位不符")=0,B21&lt;='模式参数'!$D$23),"可购","不可购")</x:f>
        <x:v>可购</x:v>
      </x:c>
    </x:row>
    <x:row r="25">
      <x:c r="A25" t="str">
        <x:v>只计算新增购买。已保留装备设数量0；旧甲补头盔与已携道具请另按状态核价。</x:v>
      </x:c>
    </x:row>
    <x:row r="27">
      <x:c r="A27" t="str">
        <x:v>配装、购买区与窗口需由实际游戏条件确认；本页不会读取客户端。</x:v>
      </x:c>
    </x:row>
  </x:sheetData>
  <x:conditionalFormatting sqref="B22:B22">
    <x:cfRule type="containsText" dxfId="0" priority="1" operator="containsText" text="不可购"/>
  </x:conditionalFormatting>
  <x:dataValidations count="7">
    <x:dataValidation type="list" sqref="B4">
      <x:formula1>"T,CT"</x:formula1>
    </x:dataValidation>
    <x:dataValidation type="whole" operator="between" sqref="E4">
      <x:formula1>0</x:formula1>
      <x:formula2>16000</x:formula2>
    </x:dataValidation>
    <x:dataValidation type="list" sqref="H4">
      <x:formula1>"是,否"</x:formula1>
    </x:dataValidation>
    <x:dataValidation type="list" sqref="K4">
      <x:formula1>"是,否"</x:formula1>
    </x:dataValidation>
    <x:dataValidation type="list" sqref="B7:B15">
      <x:formula1>'价格配置'!$A$7:$A$51</x:formula1>
    </x:dataValidation>
    <x:dataValidation type="whole" operator="between" sqref="D7:D15">
      <x:formula1>0</x:formula1>
      <x:formula2>2</x:formula2>
    </x:dataValidation>
    <x:dataValidation type="list" sqref="H7:H1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09c3519cc648f3"/>
  </x:tableParts>
</x:worksheet>
</file>

<file path=xl/worksheets/sheet3.xml><?xml version="1.0" encoding="utf-8"?>
<x:worksheet xmlns:x="http://schemas.openxmlformats.org/spreadsheetml/2006/main">
  <x:sheetPr>
    <x:tabColor rgb="FF315C8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  <x:col min="9" max="9" width="23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5" hidden="0" customWidth="1"/>
    <x:col min="16" max="16" width="3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2" t="str">
        <x:v>单人半场经济预算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3" customHeight="1">
      <x:c r="A4" s="19" t="str">
        <x:v>本半场阵营</x:v>
      </x:c>
      <x:c r="B4" s="26" t="str">
        <x:v>T</x:v>
      </x:c>
      <x:c r="C4" s="1"/>
      <x:c r="D4" s="1" t="str">
        <x:v>起始现金</x:v>
      </x:c>
      <x:c r="E4" s="27" t="n">
        <x:f>'模式参数'!$D$9</x:f>
        <x:v>800</x:v>
      </x:c>
      <x:c r="F4" s="1"/>
      <x:c r="G4" s="1" t="str">
        <x:v>初始档位</x:v>
      </x:c>
      <x:c r="H4" s="27" t="n">
        <x:f>'模式参数'!$D$13</x:f>
        <x:v>1</x:v>
      </x:c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A6" s="14" t="str">
        <x:v>回合</x:v>
      </x:c>
      <x:c r="B6" s="15" t="str">
        <x:v>进入档位</x:v>
      </x:c>
      <x:c r="C6" s="15" t="str">
        <x:v>期初现金</x:v>
      </x:c>
      <x:c r="D6" s="15" t="str">
        <x:v>购买支出</x:v>
      </x:c>
      <x:c r="E6" s="15" t="str">
        <x:v>个人击杀收入</x:v>
      </x:c>
      <x:c r="F6" s="15" t="str">
        <x:v>个人目标收入</x:v>
      </x:c>
      <x:c r="G6" s="15" t="str">
        <x:v>有效T淘汰数</x:v>
      </x:c>
      <x:c r="H6" s="15" t="str">
        <x:v>本人存活</x:v>
      </x:c>
      <x:c r="I6" s="15" t="str">
        <x:v>回合结果</x:v>
      </x:c>
      <x:c r="J6" s="15" t="str">
        <x:v>结果奖励</x:v>
      </x:c>
      <x:c r="K6" s="15" t="str">
        <x:v>T被拆补贴</x:v>
      </x:c>
      <x:c r="L6" s="15" t="str">
        <x:v>CT共享收入</x:v>
      </x:c>
      <x:c r="M6" s="15" t="str">
        <x:v>局中余额</x:v>
      </x:c>
      <x:c r="N6" s="15" t="str">
        <x:v>下回合现金</x:v>
      </x:c>
      <x:c r="O6" s="15" t="str">
        <x:v>下轮档位</x:v>
      </x:c>
      <x:c r="P6" s="16" t="str">
        <x:v>输入检查</x:v>
      </x:c>
    </x:row>
    <x:row r="7" ht="28" customHeight="1">
      <x:c r="A7" s="9" t="n">
        <x:v>1</x:v>
      </x:c>
      <x:c r="B7" s="9" t="n">
        <x:f>$H$4</x:f>
        <x:v>1</x:v>
      </x:c>
      <x:c r="C7" s="30" t="n">
        <x:f>$E$4</x:f>
        <x:v>800</x:v>
      </x:c>
      <x:c r="D7" s="33" t="n">
        <x:v>650</x:v>
      </x:c>
      <x:c r="E7" s="33" t="n">
        <x:v>0</x:v>
      </x:c>
      <x:c r="F7" s="33" t="n">
        <x:v>300</x:v>
      </x:c>
      <x:c r="G7" s="29" t="n">
        <x:v>0</x:v>
      </x:c>
      <x:c r="H7" s="28" t="str">
        <x:v>否</x:v>
      </x:c>
      <x:c r="I7" s="28" t="str">
        <x:v>被拆弹负</x:v>
      </x:c>
      <x:c r="J7" s="30" t="n">
        <x:f>IF(I7="","",IF(P7&lt;&gt;"有效","待核",IF(RIGHT(I7,1)="负",IF(AND($B$4="T",I7="超时负",H7="是"),0,'模式参数'!$D$11+'模式参数'!$D$12*B7),IF(OR(I7="爆炸胜",I7="拆弹胜"),'结算事件'!$E$9,'结算事件'!$E$7))))</x:f>
        <x:v>1900</x:v>
      </x:c>
      <x:c r="K7" s="30" t="n">
        <x:f>IF(I7="","",IF(P7&lt;&gt;"有效","待核",IF(AND($B$4="T",I7="被拆弹负"),'结算事件'!$E$14,0)))</x:f>
        <x:v>600</x:v>
      </x:c>
      <x:c r="L7" s="30" t="n">
        <x:f>IF(I7="","",IF(P7&lt;&gt;"有效","待核",IF($B$4="CT",G7*'模式参数'!$D$25,0)))</x:f>
        <x:v>0</x:v>
      </x:c>
      <x:c r="M7" s="30" t="n">
        <x:f>IF(I7="","",IF(P7&lt;&gt;"有效","待核",MIN('模式参数'!$D$10,C7-D7+E7+F7)))</x:f>
        <x:v>450</x:v>
      </x:c>
      <x:c r="N7" s="30" t="n">
        <x:f>IF(I7="","",IF(P7&lt;&gt;"有效","待核",MIN('模式参数'!$D$10,M7+J7+K7+L7)))</x:f>
        <x:v>2950</x:v>
      </x:c>
      <x:c r="O7" s="9" t="n">
        <x:f>IF(I7="","",IF(P7&lt;&gt;"有效","待核",IF(RIGHT(I7,1)="胜",MAX(0,B7-1),MIN('模式参数'!$D$14,B7+1))))</x:f>
        <x:v>2</x:v>
      </x:c>
      <x:c r="P7" s="9" t="str">
        <x:f>IF(I7="","",IF(NOT(ISNUMBER(C7)),"前序回合未完成",IF(NOT(AND(ISNUMBER(B7),ISNUMBER(C7),ISNUMBER(D7),ISNUMBER(E7),ISNUMBER(F7),ISNUMBER(G7))),"输入待核",IF(OR(B7&lt;0,B7&gt;4,B7&lt;&gt;INT(B7),C7&lt;0,C7&gt;'模式参数'!$D$10,D7&lt;0,D7&lt;&gt;INT(D7),E7&lt;0,E7&lt;&gt;INT(E7),G7&lt;0,G7&gt;5,G7&lt;&gt;INT(G7),AND(F7&lt;&gt;0,F7&lt;&gt;300),AND($B$4="T",G7&lt;&gt;0)),"输入待核",IF(NOT(OR(AND($B$4="T",OR(I7="歼灭胜",I7="爆炸胜",I7="被歼灭负",I7="超时负",I7="被拆弹负")),AND($B$4="CT",OR(I7="歼灭胜",I7="超时胜",I7="拆弹胜",I7="被歼灭负",I7="被爆破负")))),"阵营与结果不符",IF(D7&gt;C7,"购买支出不合法",IF(OR(NOT(OR(H7="是",H7="否")),AND(I7="被歼灭负",H7="是"),NOT(OR(F7=0,AND($B$4="T",OR(I7="歼灭胜",I7="爆炸胜",I7="被拆弹负")),AND($B$4="CT",I7="拆弹胜")))),"目标／存活状态不符","有效")))))))</x:f>
        <x:v>有效</x:v>
      </x:c>
    </x:row>
    <x:row r="8" ht="28" customHeight="1">
      <x:c r="A8" s="17" t="n">
        <x:v>2</x:v>
      </x:c>
      <x:c r="B8" s="17" t="n">
        <x:f>IF(O7="","",O7)</x:f>
        <x:v>2</x:v>
      </x:c>
      <x:c r="C8" s="31" t="n">
        <x:f>IF(N7="","",N7)</x:f>
        <x:v>2950</x:v>
      </x:c>
      <x:c r="D8" s="33" t="n">
        <x:v>2700</x:v>
      </x:c>
      <x:c r="E8" s="33" t="n">
        <x:v>300</x:v>
      </x:c>
      <x:c r="F8" s="33" t="n">
        <x:v>0</x:v>
      </x:c>
      <x:c r="G8" s="29" t="n">
        <x:v>0</x:v>
      </x:c>
      <x:c r="H8" s="28" t="str">
        <x:v>否</x:v>
      </x:c>
      <x:c r="I8" s="28" t="str">
        <x:v>被歼灭负</x:v>
      </x:c>
      <x:c r="J8" s="31" t="n">
        <x:f>IF(I8="","",IF(P8&lt;&gt;"有效","待核",IF(RIGHT(I8,1)="负",IF(AND($B$4="T",I8="超时负",H8="是"),0,'模式参数'!$D$11+'模式参数'!$D$12*B8),IF(OR(I8="爆炸胜",I8="拆弹胜"),'结算事件'!$E$9,'结算事件'!$E$7))))</x:f>
        <x:v>2400</x:v>
      </x:c>
      <x:c r="K8" s="31" t="n">
        <x:f>IF(I8="","",IF(P8&lt;&gt;"有效","待核",IF(AND($B$4="T",I8="被拆弹负"),'结算事件'!$E$14,0)))</x:f>
        <x:v>0</x:v>
      </x:c>
      <x:c r="L8" s="31" t="n">
        <x:f>IF(I8="","",IF(P8&lt;&gt;"有效","待核",IF($B$4="CT",G8*'模式参数'!$D$25,0)))</x:f>
        <x:v>0</x:v>
      </x:c>
      <x:c r="M8" s="31" t="n">
        <x:f>IF(I8="","",IF(P8&lt;&gt;"有效","待核",MIN('模式参数'!$D$10,C8-D8+E8+F8)))</x:f>
        <x:v>550</x:v>
      </x:c>
      <x:c r="N8" s="31" t="n">
        <x:f>IF(I8="","",IF(P8&lt;&gt;"有效","待核",MIN('模式参数'!$D$10,M8+J8+K8+L8)))</x:f>
        <x:v>2950</x:v>
      </x:c>
      <x:c r="O8" s="17" t="n">
        <x:f>IF(I8="","",IF(P8&lt;&gt;"有效","待核",IF(RIGHT(I8,1)="胜",MAX(0,B8-1),MIN('模式参数'!$D$14,B8+1))))</x:f>
        <x:v>3</x:v>
      </x:c>
      <x:c r="P8" s="17" t="str">
        <x:f>IF(I8="","",IF(NOT(ISNUMBER(C8)),"前序回合未完成",IF(NOT(AND(ISNUMBER(B8),ISNUMBER(C8),ISNUMBER(D8),ISNUMBER(E8),ISNUMBER(F8),ISNUMBER(G8))),"输入待核",IF(OR(B8&lt;0,B8&gt;4,B8&lt;&gt;INT(B8),C8&lt;0,C8&gt;'模式参数'!$D$10,D8&lt;0,D8&lt;&gt;INT(D8),E8&lt;0,E8&lt;&gt;INT(E8),G8&lt;0,G8&gt;5,G8&lt;&gt;INT(G8),AND(F8&lt;&gt;0,F8&lt;&gt;300),AND($B$4="T",G8&lt;&gt;0)),"输入待核",IF(NOT(OR(AND($B$4="T",OR(I8="歼灭胜",I8="爆炸胜",I8="被歼灭负",I8="超时负",I8="被拆弹负")),AND($B$4="CT",OR(I8="歼灭胜",I8="超时胜",I8="拆弹胜",I8="被歼灭负",I8="被爆破负")))),"阵营与结果不符",IF(D8&gt;C8,"购买支出不合法",IF(OR(NOT(OR(H8="是",H8="否")),AND(I8="被歼灭负",H8="是"),NOT(OR(F8=0,AND($B$4="T",OR(I8="歼灭胜",I8="爆炸胜",I8="被拆弹负")),AND($B$4="CT",I8="拆弹胜")))),"目标／存活状态不符","有效")))))))</x:f>
        <x:v>有效</x:v>
      </x:c>
    </x:row>
    <x:row r="9" ht="28" customHeight="1">
      <x:c r="A9" s="9" t="n">
        <x:v>3</x:v>
      </x:c>
      <x:c r="B9" s="9" t="n">
        <x:f>IF(O8="","",O8)</x:f>
        <x:v>3</x:v>
      </x:c>
      <x:c r="C9" s="30" t="n">
        <x:f>IF(N8="","",N8)</x:f>
        <x:v>2950</x:v>
      </x:c>
      <x:c r="D9" s="33" t="n">
        <x:v>0</x:v>
      </x:c>
      <x:c r="E9" s="33" t="n">
        <x:v>0</x:v>
      </x:c>
      <x:c r="F9" s="33" t="n">
        <x:v>0</x:v>
      </x:c>
      <x:c r="G9" s="29" t="n">
        <x:v>0</x:v>
      </x:c>
      <x:c r="H9" s="28" t="str">
        <x:v>否</x:v>
      </x:c>
      <x:c r="I9" s="28" t="str"/>
      <x:c r="J9" s="30" t="str">
        <x:f>IF(I9="","",IF(P9&lt;&gt;"有效","待核",IF(RIGHT(I9,1)="负",IF(AND($B$4="T",I9="超时负",H9="是"),0,'模式参数'!$D$11+'模式参数'!$D$12*B9),IF(OR(I9="爆炸胜",I9="拆弹胜"),'结算事件'!$E$9,'结算事件'!$E$7))))</x:f>
      </x:c>
      <x:c r="K9" s="30" t="str">
        <x:f>IF(I9="","",IF(P9&lt;&gt;"有效","待核",IF(AND($B$4="T",I9="被拆弹负"),'结算事件'!$E$14,0)))</x:f>
      </x:c>
      <x:c r="L9" s="30" t="str">
        <x:f>IF(I9="","",IF(P9&lt;&gt;"有效","待核",IF($B$4="CT",G9*'模式参数'!$D$25,0)))</x:f>
      </x:c>
      <x:c r="M9" s="30" t="str">
        <x:f>IF(I9="","",IF(P9&lt;&gt;"有效","待核",MIN('模式参数'!$D$10,C9-D9+E9+F9)))</x:f>
      </x:c>
      <x:c r="N9" s="30" t="str">
        <x:f>IF(I9="","",IF(P9&lt;&gt;"有效","待核",MIN('模式参数'!$D$10,M9+J9+K9+L9)))</x:f>
      </x:c>
      <x:c r="O9" s="9" t="str">
        <x:f>IF(I9="","",IF(P9&lt;&gt;"有效","待核",IF(RIGHT(I9,1)="胜",MAX(0,B9-1),MIN('模式参数'!$D$14,B9+1))))</x:f>
      </x:c>
      <x:c r="P9" s="9" t="str">
        <x:f>IF(I9="","",IF(NOT(ISNUMBER(C9)),"前序回合未完成",IF(NOT(AND(ISNUMBER(B9),ISNUMBER(C9),ISNUMBER(D9),ISNUMBER(E9),ISNUMBER(F9),ISNUMBER(G9))),"输入待核",IF(OR(B9&lt;0,B9&gt;4,B9&lt;&gt;INT(B9),C9&lt;0,C9&gt;'模式参数'!$D$10,D9&lt;0,D9&lt;&gt;INT(D9),E9&lt;0,E9&lt;&gt;INT(E9),G9&lt;0,G9&gt;5,G9&lt;&gt;INT(G9),AND(F9&lt;&gt;0,F9&lt;&gt;300),AND($B$4="T",G9&lt;&gt;0)),"输入待核",IF(NOT(OR(AND($B$4="T",OR(I9="歼灭胜",I9="爆炸胜",I9="被歼灭负",I9="超时负",I9="被拆弹负")),AND($B$4="CT",OR(I9="歼灭胜",I9="超时胜",I9="拆弹胜",I9="被歼灭负",I9="被爆破负")))),"阵营与结果不符",IF(D9&gt;C9,"购买支出不合法",IF(OR(NOT(OR(H9="是",H9="否")),AND(I9="被歼灭负",H9="是"),NOT(OR(F9=0,AND($B$4="T",OR(I9="歼灭胜",I9="爆炸胜",I9="被拆弹负")),AND($B$4="CT",I9="拆弹胜")))),"目标／存活状态不符","有效")))))))</x:f>
      </x:c>
    </x:row>
    <x:row r="10" ht="28" customHeight="1">
      <x:c r="A10" s="17" t="n">
        <x:v>4</x:v>
      </x:c>
      <x:c r="B10" s="17" t="str">
        <x:f>IF(O9="","",O9)</x:f>
      </x:c>
      <x:c r="C10" s="31" t="str">
        <x:f>IF(N9="","",N9)</x:f>
      </x:c>
      <x:c r="D10" s="33" t="n">
        <x:v>0</x:v>
      </x:c>
      <x:c r="E10" s="33" t="n">
        <x:v>0</x:v>
      </x:c>
      <x:c r="F10" s="33" t="n">
        <x:v>0</x:v>
      </x:c>
      <x:c r="G10" s="29" t="n">
        <x:v>0</x:v>
      </x:c>
      <x:c r="H10" s="28" t="str">
        <x:v>否</x:v>
      </x:c>
      <x:c r="I10" s="28" t="str"/>
      <x:c r="J10" s="31" t="str">
        <x:f>IF(I10="","",IF(P10&lt;&gt;"有效","待核",IF(RIGHT(I10,1)="负",IF(AND($B$4="T",I10="超时负",H10="是"),0,'模式参数'!$D$11+'模式参数'!$D$12*B10),IF(OR(I10="爆炸胜",I10="拆弹胜"),'结算事件'!$E$9,'结算事件'!$E$7))))</x:f>
      </x:c>
      <x:c r="K10" s="31" t="str">
        <x:f>IF(I10="","",IF(P10&lt;&gt;"有效","待核",IF(AND($B$4="T",I10="被拆弹负"),'结算事件'!$E$14,0)))</x:f>
      </x:c>
      <x:c r="L10" s="31" t="str">
        <x:f>IF(I10="","",IF(P10&lt;&gt;"有效","待核",IF($B$4="CT",G10*'模式参数'!$D$25,0)))</x:f>
      </x:c>
      <x:c r="M10" s="31" t="str">
        <x:f>IF(I10="","",IF(P10&lt;&gt;"有效","待核",MIN('模式参数'!$D$10,C10-D10+E10+F10)))</x:f>
      </x:c>
      <x:c r="N10" s="31" t="str">
        <x:f>IF(I10="","",IF(P10&lt;&gt;"有效","待核",MIN('模式参数'!$D$10,M10+J10+K10+L10)))</x:f>
      </x:c>
      <x:c r="O10" s="17" t="str">
        <x:f>IF(I10="","",IF(P10&lt;&gt;"有效","待核",IF(RIGHT(I10,1)="胜",MAX(0,B10-1),MIN('模式参数'!$D$14,B10+1))))</x:f>
      </x:c>
      <x:c r="P10" s="17" t="str">
        <x:f>IF(I10="","",IF(NOT(ISNUMBER(C10)),"前序回合未完成",IF(NOT(AND(ISNUMBER(B10),ISNUMBER(C10),ISNUMBER(D10),ISNUMBER(E10),ISNUMBER(F10),ISNUMBER(G10))),"输入待核",IF(OR(B10&lt;0,B10&gt;4,B10&lt;&gt;INT(B10),C10&lt;0,C10&gt;'模式参数'!$D$10,D10&lt;0,D10&lt;&gt;INT(D10),E10&lt;0,E10&lt;&gt;INT(E10),G10&lt;0,G10&gt;5,G10&lt;&gt;INT(G10),AND(F10&lt;&gt;0,F10&lt;&gt;300),AND($B$4="T",G10&lt;&gt;0)),"输入待核",IF(NOT(OR(AND($B$4="T",OR(I10="歼灭胜",I10="爆炸胜",I10="被歼灭负",I10="超时负",I10="被拆弹负")),AND($B$4="CT",OR(I10="歼灭胜",I10="超时胜",I10="拆弹胜",I10="被歼灭负",I10="被爆破负")))),"阵营与结果不符",IF(D10&gt;C10,"购买支出不合法",IF(OR(NOT(OR(H10="是",H10="否")),AND(I10="被歼灭负",H10="是"),NOT(OR(F10=0,AND($B$4="T",OR(I10="歼灭胜",I10="爆炸胜",I10="被拆弹负")),AND($B$4="CT",I10="拆弹胜")))),"目标／存活状态不符","有效")))))))</x:f>
      </x:c>
    </x:row>
    <x:row r="11" ht="28" customHeight="1">
      <x:c r="A11" s="9" t="n">
        <x:v>5</x:v>
      </x:c>
      <x:c r="B11" s="9" t="str">
        <x:f>IF(O10="","",O10)</x:f>
      </x:c>
      <x:c r="C11" s="30" t="str">
        <x:f>IF(N10="","",N10)</x:f>
      </x:c>
      <x:c r="D11" s="33" t="n">
        <x:v>0</x:v>
      </x:c>
      <x:c r="E11" s="33" t="n">
        <x:v>0</x:v>
      </x:c>
      <x:c r="F11" s="33" t="n">
        <x:v>0</x:v>
      </x:c>
      <x:c r="G11" s="29" t="n">
        <x:v>0</x:v>
      </x:c>
      <x:c r="H11" s="28" t="str">
        <x:v>否</x:v>
      </x:c>
      <x:c r="I11" s="28" t="str"/>
      <x:c r="J11" s="30" t="str">
        <x:f>IF(I11="","",IF(P11&lt;&gt;"有效","待核",IF(RIGHT(I11,1)="负",IF(AND($B$4="T",I11="超时负",H11="是"),0,'模式参数'!$D$11+'模式参数'!$D$12*B11),IF(OR(I11="爆炸胜",I11="拆弹胜"),'结算事件'!$E$9,'结算事件'!$E$7))))</x:f>
      </x:c>
      <x:c r="K11" s="30" t="str">
        <x:f>IF(I11="","",IF(P11&lt;&gt;"有效","待核",IF(AND($B$4="T",I11="被拆弹负"),'结算事件'!$E$14,0)))</x:f>
      </x:c>
      <x:c r="L11" s="30" t="str">
        <x:f>IF(I11="","",IF(P11&lt;&gt;"有效","待核",IF($B$4="CT",G11*'模式参数'!$D$25,0)))</x:f>
      </x:c>
      <x:c r="M11" s="30" t="str">
        <x:f>IF(I11="","",IF(P11&lt;&gt;"有效","待核",MIN('模式参数'!$D$10,C11-D11+E11+F11)))</x:f>
      </x:c>
      <x:c r="N11" s="30" t="str">
        <x:f>IF(I11="","",IF(P11&lt;&gt;"有效","待核",MIN('模式参数'!$D$10,M11+J11+K11+L11)))</x:f>
      </x:c>
      <x:c r="O11" s="9" t="str">
        <x:f>IF(I11="","",IF(P11&lt;&gt;"有效","待核",IF(RIGHT(I11,1)="胜",MAX(0,B11-1),MIN('模式参数'!$D$14,B11+1))))</x:f>
      </x:c>
      <x:c r="P11" s="9" t="str">
        <x:f>IF(I11="","",IF(NOT(ISNUMBER(C11)),"前序回合未完成",IF(NOT(AND(ISNUMBER(B11),ISNUMBER(C11),ISNUMBER(D11),ISNUMBER(E11),ISNUMBER(F11),ISNUMBER(G11))),"输入待核",IF(OR(B11&lt;0,B11&gt;4,B11&lt;&gt;INT(B11),C11&lt;0,C11&gt;'模式参数'!$D$10,D11&lt;0,D11&lt;&gt;INT(D11),E11&lt;0,E11&lt;&gt;INT(E11),G11&lt;0,G11&gt;5,G11&lt;&gt;INT(G11),AND(F11&lt;&gt;0,F11&lt;&gt;300),AND($B$4="T",G11&lt;&gt;0)),"输入待核",IF(NOT(OR(AND($B$4="T",OR(I11="歼灭胜",I11="爆炸胜",I11="被歼灭负",I11="超时负",I11="被拆弹负")),AND($B$4="CT",OR(I11="歼灭胜",I11="超时胜",I11="拆弹胜",I11="被歼灭负",I11="被爆破负")))),"阵营与结果不符",IF(D11&gt;C11,"购买支出不合法",IF(OR(NOT(OR(H11="是",H11="否")),AND(I11="被歼灭负",H11="是"),NOT(OR(F11=0,AND($B$4="T",OR(I11="歼灭胜",I11="爆炸胜",I11="被拆弹负")),AND($B$4="CT",I11="拆弹胜")))),"目标／存活状态不符","有效")))))))</x:f>
      </x:c>
    </x:row>
    <x:row r="12" ht="28" customHeight="1">
      <x:c r="A12" s="17" t="n">
        <x:v>6</x:v>
      </x:c>
      <x:c r="B12" s="17" t="str">
        <x:f>IF(O11="","",O11)</x:f>
      </x:c>
      <x:c r="C12" s="31" t="str">
        <x:f>IF(N11="","",N11)</x:f>
      </x:c>
      <x:c r="D12" s="33" t="n">
        <x:v>0</x:v>
      </x:c>
      <x:c r="E12" s="33" t="n">
        <x:v>0</x:v>
      </x:c>
      <x:c r="F12" s="33" t="n">
        <x:v>0</x:v>
      </x:c>
      <x:c r="G12" s="29" t="n">
        <x:v>0</x:v>
      </x:c>
      <x:c r="H12" s="28" t="str">
        <x:v>否</x:v>
      </x:c>
      <x:c r="I12" s="28" t="str"/>
      <x:c r="J12" s="31" t="str">
        <x:f>IF(I12="","",IF(P12&lt;&gt;"有效","待核",IF(RIGHT(I12,1)="负",IF(AND($B$4="T",I12="超时负",H12="是"),0,'模式参数'!$D$11+'模式参数'!$D$12*B12),IF(OR(I12="爆炸胜",I12="拆弹胜"),'结算事件'!$E$9,'结算事件'!$E$7))))</x:f>
      </x:c>
      <x:c r="K12" s="31" t="str">
        <x:f>IF(I12="","",IF(P12&lt;&gt;"有效","待核",IF(AND($B$4="T",I12="被拆弹负"),'结算事件'!$E$14,0)))</x:f>
      </x:c>
      <x:c r="L12" s="31" t="str">
        <x:f>IF(I12="","",IF(P12&lt;&gt;"有效","待核",IF($B$4="CT",G12*'模式参数'!$D$25,0)))</x:f>
      </x:c>
      <x:c r="M12" s="31" t="str">
        <x:f>IF(I12="","",IF(P12&lt;&gt;"有效","待核",MIN('模式参数'!$D$10,C12-D12+E12+F12)))</x:f>
      </x:c>
      <x:c r="N12" s="31" t="str">
        <x:f>IF(I12="","",IF(P12&lt;&gt;"有效","待核",MIN('模式参数'!$D$10,M12+J12+K12+L12)))</x:f>
      </x:c>
      <x:c r="O12" s="17" t="str">
        <x:f>IF(I12="","",IF(P12&lt;&gt;"有效","待核",IF(RIGHT(I12,1)="胜",MAX(0,B12-1),MIN('模式参数'!$D$14,B12+1))))</x:f>
      </x:c>
      <x:c r="P12" s="17" t="str">
        <x:f>IF(I12="","",IF(NOT(ISNUMBER(C12)),"前序回合未完成",IF(NOT(AND(ISNUMBER(B12),ISNUMBER(C12),ISNUMBER(D12),ISNUMBER(E12),ISNUMBER(F12),ISNUMBER(G12))),"输入待核",IF(OR(B12&lt;0,B12&gt;4,B12&lt;&gt;INT(B12),C12&lt;0,C12&gt;'模式参数'!$D$10,D12&lt;0,D12&lt;&gt;INT(D12),E12&lt;0,E12&lt;&gt;INT(E12),G12&lt;0,G12&gt;5,G12&lt;&gt;INT(G12),AND(F12&lt;&gt;0,F12&lt;&gt;300),AND($B$4="T",G12&lt;&gt;0)),"输入待核",IF(NOT(OR(AND($B$4="T",OR(I12="歼灭胜",I12="爆炸胜",I12="被歼灭负",I12="超时负",I12="被拆弹负")),AND($B$4="CT",OR(I12="歼灭胜",I12="超时胜",I12="拆弹胜",I12="被歼灭负",I12="被爆破负")))),"阵营与结果不符",IF(D12&gt;C12,"购买支出不合法",IF(OR(NOT(OR(H12="是",H12="否")),AND(I12="被歼灭负",H12="是"),NOT(OR(F12=0,AND($B$4="T",OR(I12="歼灭胜",I12="爆炸胜",I12="被拆弹负")),AND($B$4="CT",I12="拆弹胜")))),"目标／存活状态不符","有效")))))))</x:f>
      </x:c>
    </x:row>
    <x:row r="13" ht="28" customHeight="1">
      <x:c r="A13" s="9" t="n">
        <x:v>7</x:v>
      </x:c>
      <x:c r="B13" s="9" t="str">
        <x:f>IF(O12="","",O12)</x:f>
      </x:c>
      <x:c r="C13" s="30" t="str">
        <x:f>IF(N12="","",N12)</x:f>
      </x:c>
      <x:c r="D13" s="33" t="n">
        <x:v>0</x:v>
      </x:c>
      <x:c r="E13" s="33" t="n">
        <x:v>0</x:v>
      </x:c>
      <x:c r="F13" s="33" t="n">
        <x:v>0</x:v>
      </x:c>
      <x:c r="G13" s="29" t="n">
        <x:v>0</x:v>
      </x:c>
      <x:c r="H13" s="28" t="str">
        <x:v>否</x:v>
      </x:c>
      <x:c r="I13" s="28" t="str"/>
      <x:c r="J13" s="30" t="str">
        <x:f>IF(I13="","",IF(P13&lt;&gt;"有效","待核",IF(RIGHT(I13,1)="负",IF(AND($B$4="T",I13="超时负",H13="是"),0,'模式参数'!$D$11+'模式参数'!$D$12*B13),IF(OR(I13="爆炸胜",I13="拆弹胜"),'结算事件'!$E$9,'结算事件'!$E$7))))</x:f>
      </x:c>
      <x:c r="K13" s="30" t="str">
        <x:f>IF(I13="","",IF(P13&lt;&gt;"有效","待核",IF(AND($B$4="T",I13="被拆弹负"),'结算事件'!$E$14,0)))</x:f>
      </x:c>
      <x:c r="L13" s="30" t="str">
        <x:f>IF(I13="","",IF(P13&lt;&gt;"有效","待核",IF($B$4="CT",G13*'模式参数'!$D$25,0)))</x:f>
      </x:c>
      <x:c r="M13" s="30" t="str">
        <x:f>IF(I13="","",IF(P13&lt;&gt;"有效","待核",MIN('模式参数'!$D$10,C13-D13+E13+F13)))</x:f>
      </x:c>
      <x:c r="N13" s="30" t="str">
        <x:f>IF(I13="","",IF(P13&lt;&gt;"有效","待核",MIN('模式参数'!$D$10,M13+J13+K13+L13)))</x:f>
      </x:c>
      <x:c r="O13" s="9" t="str">
        <x:f>IF(I13="","",IF(P13&lt;&gt;"有效","待核",IF(RIGHT(I13,1)="胜",MAX(0,B13-1),MIN('模式参数'!$D$14,B13+1))))</x:f>
      </x:c>
      <x:c r="P13" s="9" t="str">
        <x:f>IF(I13="","",IF(NOT(ISNUMBER(C13)),"前序回合未完成",IF(NOT(AND(ISNUMBER(B13),ISNUMBER(C13),ISNUMBER(D13),ISNUMBER(E13),ISNUMBER(F13),ISNUMBER(G13))),"输入待核",IF(OR(B13&lt;0,B13&gt;4,B13&lt;&gt;INT(B13),C13&lt;0,C13&gt;'模式参数'!$D$10,D13&lt;0,D13&lt;&gt;INT(D13),E13&lt;0,E13&lt;&gt;INT(E13),G13&lt;0,G13&gt;5,G13&lt;&gt;INT(G13),AND(F13&lt;&gt;0,F13&lt;&gt;300),AND($B$4="T",G13&lt;&gt;0)),"输入待核",IF(NOT(OR(AND($B$4="T",OR(I13="歼灭胜",I13="爆炸胜",I13="被歼灭负",I13="超时负",I13="被拆弹负")),AND($B$4="CT",OR(I13="歼灭胜",I13="超时胜",I13="拆弹胜",I13="被歼灭负",I13="被爆破负")))),"阵营与结果不符",IF(D13&gt;C13,"购买支出不合法",IF(OR(NOT(OR(H13="是",H13="否")),AND(I13="被歼灭负",H13="是"),NOT(OR(F13=0,AND($B$4="T",OR(I13="歼灭胜",I13="爆炸胜",I13="被拆弹负")),AND($B$4="CT",I13="拆弹胜")))),"目标／存活状态不符","有效")))))))</x:f>
      </x:c>
    </x:row>
    <x:row r="14" ht="28" customHeight="1">
      <x:c r="A14" s="17" t="n">
        <x:v>8</x:v>
      </x:c>
      <x:c r="B14" s="17" t="str">
        <x:f>IF(O13="","",O13)</x:f>
      </x:c>
      <x:c r="C14" s="31" t="str">
        <x:f>IF(N13="","",N13)</x:f>
      </x:c>
      <x:c r="D14" s="33" t="n">
        <x:v>0</x:v>
      </x:c>
      <x:c r="E14" s="33" t="n">
        <x:v>0</x:v>
      </x:c>
      <x:c r="F14" s="33" t="n">
        <x:v>0</x:v>
      </x:c>
      <x:c r="G14" s="29" t="n">
        <x:v>0</x:v>
      </x:c>
      <x:c r="H14" s="28" t="str">
        <x:v>否</x:v>
      </x:c>
      <x:c r="I14" s="28" t="str"/>
      <x:c r="J14" s="31" t="str">
        <x:f>IF(I14="","",IF(P14&lt;&gt;"有效","待核",IF(RIGHT(I14,1)="负",IF(AND($B$4="T",I14="超时负",H14="是"),0,'模式参数'!$D$11+'模式参数'!$D$12*B14),IF(OR(I14="爆炸胜",I14="拆弹胜"),'结算事件'!$E$9,'结算事件'!$E$7))))</x:f>
      </x:c>
      <x:c r="K14" s="31" t="str">
        <x:f>IF(I14="","",IF(P14&lt;&gt;"有效","待核",IF(AND($B$4="T",I14="被拆弹负"),'结算事件'!$E$14,0)))</x:f>
      </x:c>
      <x:c r="L14" s="31" t="str">
        <x:f>IF(I14="","",IF(P14&lt;&gt;"有效","待核",IF($B$4="CT",G14*'模式参数'!$D$25,0)))</x:f>
      </x:c>
      <x:c r="M14" s="31" t="str">
        <x:f>IF(I14="","",IF(P14&lt;&gt;"有效","待核",MIN('模式参数'!$D$10,C14-D14+E14+F14)))</x:f>
      </x:c>
      <x:c r="N14" s="31" t="str">
        <x:f>IF(I14="","",IF(P14&lt;&gt;"有效","待核",MIN('模式参数'!$D$10,M14+J14+K14+L14)))</x:f>
      </x:c>
      <x:c r="O14" s="17" t="str">
        <x:f>IF(I14="","",IF(P14&lt;&gt;"有效","待核",IF(RIGHT(I14,1)="胜",MAX(0,B14-1),MIN('模式参数'!$D$14,B14+1))))</x:f>
      </x:c>
      <x:c r="P14" s="17" t="str">
        <x:f>IF(I14="","",IF(NOT(ISNUMBER(C14)),"前序回合未完成",IF(NOT(AND(ISNUMBER(B14),ISNUMBER(C14),ISNUMBER(D14),ISNUMBER(E14),ISNUMBER(F14),ISNUMBER(G14))),"输入待核",IF(OR(B14&lt;0,B14&gt;4,B14&lt;&gt;INT(B14),C14&lt;0,C14&gt;'模式参数'!$D$10,D14&lt;0,D14&lt;&gt;INT(D14),E14&lt;0,E14&lt;&gt;INT(E14),G14&lt;0,G14&gt;5,G14&lt;&gt;INT(G14),AND(F14&lt;&gt;0,F14&lt;&gt;300),AND($B$4="T",G14&lt;&gt;0)),"输入待核",IF(NOT(OR(AND($B$4="T",OR(I14="歼灭胜",I14="爆炸胜",I14="被歼灭负",I14="超时负",I14="被拆弹负")),AND($B$4="CT",OR(I14="歼灭胜",I14="超时胜",I14="拆弹胜",I14="被歼灭负",I14="被爆破负")))),"阵营与结果不符",IF(D14&gt;C14,"购买支出不合法",IF(OR(NOT(OR(H14="是",H14="否")),AND(I14="被歼灭负",H14="是"),NOT(OR(F14=0,AND($B$4="T",OR(I14="歼灭胜",I14="爆炸胜",I14="被拆弹负")),AND($B$4="CT",I14="拆弹胜")))),"目标／存活状态不符","有效")))))))</x:f>
      </x:c>
    </x:row>
    <x:row r="15" ht="28" customHeight="1">
      <x:c r="A15" s="9" t="n">
        <x:v>9</x:v>
      </x:c>
      <x:c r="B15" s="9" t="str">
        <x:f>IF(O14="","",O14)</x:f>
      </x:c>
      <x:c r="C15" s="30" t="str">
        <x:f>IF(N14="","",N14)</x:f>
      </x:c>
      <x:c r="D15" s="33" t="n">
        <x:v>0</x:v>
      </x:c>
      <x:c r="E15" s="33" t="n">
        <x:v>0</x:v>
      </x:c>
      <x:c r="F15" s="33" t="n">
        <x:v>0</x:v>
      </x:c>
      <x:c r="G15" s="29" t="n">
        <x:v>0</x:v>
      </x:c>
      <x:c r="H15" s="28" t="str">
        <x:v>否</x:v>
      </x:c>
      <x:c r="I15" s="28" t="str"/>
      <x:c r="J15" s="30" t="str">
        <x:f>IF(I15="","",IF(P15&lt;&gt;"有效","待核",IF(RIGHT(I15,1)="负",IF(AND($B$4="T",I15="超时负",H15="是"),0,'模式参数'!$D$11+'模式参数'!$D$12*B15),IF(OR(I15="爆炸胜",I15="拆弹胜"),'结算事件'!$E$9,'结算事件'!$E$7))))</x:f>
      </x:c>
      <x:c r="K15" s="30" t="str">
        <x:f>IF(I15="","",IF(P15&lt;&gt;"有效","待核",IF(AND($B$4="T",I15="被拆弹负"),'结算事件'!$E$14,0)))</x:f>
      </x:c>
      <x:c r="L15" s="30" t="str">
        <x:f>IF(I15="","",IF(P15&lt;&gt;"有效","待核",IF($B$4="CT",G15*'模式参数'!$D$25,0)))</x:f>
      </x:c>
      <x:c r="M15" s="30" t="str">
        <x:f>IF(I15="","",IF(P15&lt;&gt;"有效","待核",MIN('模式参数'!$D$10,C15-D15+E15+F15)))</x:f>
      </x:c>
      <x:c r="N15" s="30" t="str">
        <x:f>IF(I15="","",IF(P15&lt;&gt;"有效","待核",MIN('模式参数'!$D$10,M15+J15+K15+L15)))</x:f>
      </x:c>
      <x:c r="O15" s="9" t="str">
        <x:f>IF(I15="","",IF(P15&lt;&gt;"有效","待核",IF(RIGHT(I15,1)="胜",MAX(0,B15-1),MIN('模式参数'!$D$14,B15+1))))</x:f>
      </x:c>
      <x:c r="P15" s="9" t="str">
        <x:f>IF(I15="","",IF(NOT(ISNUMBER(C15)),"前序回合未完成",IF(NOT(AND(ISNUMBER(B15),ISNUMBER(C15),ISNUMBER(D15),ISNUMBER(E15),ISNUMBER(F15),ISNUMBER(G15))),"输入待核",IF(OR(B15&lt;0,B15&gt;4,B15&lt;&gt;INT(B15),C15&lt;0,C15&gt;'模式参数'!$D$10,D15&lt;0,D15&lt;&gt;INT(D15),E15&lt;0,E15&lt;&gt;INT(E15),G15&lt;0,G15&gt;5,G15&lt;&gt;INT(G15),AND(F15&lt;&gt;0,F15&lt;&gt;300),AND($B$4="T",G15&lt;&gt;0)),"输入待核",IF(NOT(OR(AND($B$4="T",OR(I15="歼灭胜",I15="爆炸胜",I15="被歼灭负",I15="超时负",I15="被拆弹负")),AND($B$4="CT",OR(I15="歼灭胜",I15="超时胜",I15="拆弹胜",I15="被歼灭负",I15="被爆破负")))),"阵营与结果不符",IF(D15&gt;C15,"购买支出不合法",IF(OR(NOT(OR(H15="是",H15="否")),AND(I15="被歼灭负",H15="是"),NOT(OR(F15=0,AND($B$4="T",OR(I15="歼灭胜",I15="爆炸胜",I15="被拆弹负")),AND($B$4="CT",I15="拆弹胜")))),"目标／存活状态不符","有效")))))))</x:f>
      </x:c>
    </x:row>
    <x:row r="16" ht="28" customHeight="1">
      <x:c r="A16" s="17" t="n">
        <x:v>10</x:v>
      </x:c>
      <x:c r="B16" s="17" t="str">
        <x:f>IF(O15="","",O15)</x:f>
      </x:c>
      <x:c r="C16" s="31" t="str">
        <x:f>IF(N15="","",N15)</x:f>
      </x:c>
      <x:c r="D16" s="33" t="n">
        <x:v>0</x:v>
      </x:c>
      <x:c r="E16" s="33" t="n">
        <x:v>0</x:v>
      </x:c>
      <x:c r="F16" s="33" t="n">
        <x:v>0</x:v>
      </x:c>
      <x:c r="G16" s="29" t="n">
        <x:v>0</x:v>
      </x:c>
      <x:c r="H16" s="28" t="str">
        <x:v>否</x:v>
      </x:c>
      <x:c r="I16" s="28" t="str"/>
      <x:c r="J16" s="31" t="str">
        <x:f>IF(I16="","",IF(P16&lt;&gt;"有效","待核",IF(RIGHT(I16,1)="负",IF(AND($B$4="T",I16="超时负",H16="是"),0,'模式参数'!$D$11+'模式参数'!$D$12*B16),IF(OR(I16="爆炸胜",I16="拆弹胜"),'结算事件'!$E$9,'结算事件'!$E$7))))</x:f>
      </x:c>
      <x:c r="K16" s="31" t="str">
        <x:f>IF(I16="","",IF(P16&lt;&gt;"有效","待核",IF(AND($B$4="T",I16="被拆弹负"),'结算事件'!$E$14,0)))</x:f>
      </x:c>
      <x:c r="L16" s="31" t="str">
        <x:f>IF(I16="","",IF(P16&lt;&gt;"有效","待核",IF($B$4="CT",G16*'模式参数'!$D$25,0)))</x:f>
      </x:c>
      <x:c r="M16" s="31" t="str">
        <x:f>IF(I16="","",IF(P16&lt;&gt;"有效","待核",MIN('模式参数'!$D$10,C16-D16+E16+F16)))</x:f>
      </x:c>
      <x:c r="N16" s="31" t="str">
        <x:f>IF(I16="","",IF(P16&lt;&gt;"有效","待核",MIN('模式参数'!$D$10,M16+J16+K16+L16)))</x:f>
      </x:c>
      <x:c r="O16" s="17" t="str">
        <x:f>IF(I16="","",IF(P16&lt;&gt;"有效","待核",IF(RIGHT(I16,1)="胜",MAX(0,B16-1),MIN('模式参数'!$D$14,B16+1))))</x:f>
      </x:c>
      <x:c r="P16" s="17" t="str">
        <x:f>IF(I16="","",IF(NOT(ISNUMBER(C16)),"前序回合未完成",IF(NOT(AND(ISNUMBER(B16),ISNUMBER(C16),ISNUMBER(D16),ISNUMBER(E16),ISNUMBER(F16),ISNUMBER(G16))),"输入待核",IF(OR(B16&lt;0,B16&gt;4,B16&lt;&gt;INT(B16),C16&lt;0,C16&gt;'模式参数'!$D$10,D16&lt;0,D16&lt;&gt;INT(D16),E16&lt;0,E16&lt;&gt;INT(E16),G16&lt;0,G16&gt;5,G16&lt;&gt;INT(G16),AND(F16&lt;&gt;0,F16&lt;&gt;300),AND($B$4="T",G16&lt;&gt;0)),"输入待核",IF(NOT(OR(AND($B$4="T",OR(I16="歼灭胜",I16="爆炸胜",I16="被歼灭负",I16="超时负",I16="被拆弹负")),AND($B$4="CT",OR(I16="歼灭胜",I16="超时胜",I16="拆弹胜",I16="被歼灭负",I16="被爆破负")))),"阵营与结果不符",IF(D16&gt;C16,"购买支出不合法",IF(OR(NOT(OR(H16="是",H16="否")),AND(I16="被歼灭负",H16="是"),NOT(OR(F16=0,AND($B$4="T",OR(I16="歼灭胜",I16="爆炸胜",I16="被拆弹负")),AND($B$4="CT",I16="拆弹胜")))),"目标／存活状态不符","有效")))))))</x:f>
      </x:c>
    </x:row>
    <x:row r="17" ht="28" customHeight="1">
      <x:c r="A17" s="9" t="n">
        <x:v>11</x:v>
      </x:c>
      <x:c r="B17" s="9" t="str">
        <x:f>IF(O16="","",O16)</x:f>
      </x:c>
      <x:c r="C17" s="30" t="str">
        <x:f>IF(N16="","",N16)</x:f>
      </x:c>
      <x:c r="D17" s="33" t="n">
        <x:v>0</x:v>
      </x:c>
      <x:c r="E17" s="33" t="n">
        <x:v>0</x:v>
      </x:c>
      <x:c r="F17" s="33" t="n">
        <x:v>0</x:v>
      </x:c>
      <x:c r="G17" s="29" t="n">
        <x:v>0</x:v>
      </x:c>
      <x:c r="H17" s="28" t="str">
        <x:v>否</x:v>
      </x:c>
      <x:c r="I17" s="28" t="str"/>
      <x:c r="J17" s="30" t="str">
        <x:f>IF(I17="","",IF(P17&lt;&gt;"有效","待核",IF(RIGHT(I17,1)="负",IF(AND($B$4="T",I17="超时负",H17="是"),0,'模式参数'!$D$11+'模式参数'!$D$12*B17),IF(OR(I17="爆炸胜",I17="拆弹胜"),'结算事件'!$E$9,'结算事件'!$E$7))))</x:f>
      </x:c>
      <x:c r="K17" s="30" t="str">
        <x:f>IF(I17="","",IF(P17&lt;&gt;"有效","待核",IF(AND($B$4="T",I17="被拆弹负"),'结算事件'!$E$14,0)))</x:f>
      </x:c>
      <x:c r="L17" s="30" t="str">
        <x:f>IF(I17="","",IF(P17&lt;&gt;"有效","待核",IF($B$4="CT",G17*'模式参数'!$D$25,0)))</x:f>
      </x:c>
      <x:c r="M17" s="30" t="str">
        <x:f>IF(I17="","",IF(P17&lt;&gt;"有效","待核",MIN('模式参数'!$D$10,C17-D17+E17+F17)))</x:f>
      </x:c>
      <x:c r="N17" s="30" t="str">
        <x:f>IF(I17="","",IF(P17&lt;&gt;"有效","待核",MIN('模式参数'!$D$10,M17+J17+K17+L17)))</x:f>
      </x:c>
      <x:c r="O17" s="9" t="str">
        <x:f>IF(I17="","",IF(P17&lt;&gt;"有效","待核",IF(RIGHT(I17,1)="胜",MAX(0,B17-1),MIN('模式参数'!$D$14,B17+1))))</x:f>
      </x:c>
      <x:c r="P17" s="9" t="str">
        <x:f>IF(I17="","",IF(NOT(ISNUMBER(C17)),"前序回合未完成",IF(NOT(AND(ISNUMBER(B17),ISNUMBER(C17),ISNUMBER(D17),ISNUMBER(E17),ISNUMBER(F17),ISNUMBER(G17))),"输入待核",IF(OR(B17&lt;0,B17&gt;4,B17&lt;&gt;INT(B17),C17&lt;0,C17&gt;'模式参数'!$D$10,D17&lt;0,D17&lt;&gt;INT(D17),E17&lt;0,E17&lt;&gt;INT(E17),G17&lt;0,G17&gt;5,G17&lt;&gt;INT(G17),AND(F17&lt;&gt;0,F17&lt;&gt;300),AND($B$4="T",G17&lt;&gt;0)),"输入待核",IF(NOT(OR(AND($B$4="T",OR(I17="歼灭胜",I17="爆炸胜",I17="被歼灭负",I17="超时负",I17="被拆弹负")),AND($B$4="CT",OR(I17="歼灭胜",I17="超时胜",I17="拆弹胜",I17="被歼灭负",I17="被爆破负")))),"阵营与结果不符",IF(D17&gt;C17,"购买支出不合法",IF(OR(NOT(OR(H17="是",H17="否")),AND(I17="被歼灭负",H17="是"),NOT(OR(F17=0,AND($B$4="T",OR(I17="歼灭胜",I17="爆炸胜",I17="被拆弹负")),AND($B$4="CT",I17="拆弹胜")))),"目标／存活状态不符","有效")))))))</x:f>
      </x:c>
    </x:row>
    <x:row r="18" ht="28" customHeight="1">
      <x:c r="A18" s="17" t="n">
        <x:v>12</x:v>
      </x:c>
      <x:c r="B18" s="17" t="str">
        <x:f>IF(O17="","",O17)</x:f>
      </x:c>
      <x:c r="C18" s="31" t="str">
        <x:f>IF(N17="","",N17)</x:f>
      </x:c>
      <x:c r="D18" s="33" t="n">
        <x:v>0</x:v>
      </x:c>
      <x:c r="E18" s="33" t="n">
        <x:v>0</x:v>
      </x:c>
      <x:c r="F18" s="33" t="n">
        <x:v>0</x:v>
      </x:c>
      <x:c r="G18" s="29" t="n">
        <x:v>0</x:v>
      </x:c>
      <x:c r="H18" s="28" t="str">
        <x:v>否</x:v>
      </x:c>
      <x:c r="I18" s="28" t="str"/>
      <x:c r="J18" s="31" t="str">
        <x:f>IF(I18="","",IF(P18&lt;&gt;"有效","待核",IF(RIGHT(I18,1)="负",IF(AND($B$4="T",I18="超时负",H18="是"),0,'模式参数'!$D$11+'模式参数'!$D$12*B18),IF(OR(I18="爆炸胜",I18="拆弹胜"),'结算事件'!$E$9,'结算事件'!$E$7))))</x:f>
      </x:c>
      <x:c r="K18" s="31" t="str">
        <x:f>IF(I18="","",IF(P18&lt;&gt;"有效","待核",IF(AND($B$4="T",I18="被拆弹负"),'结算事件'!$E$14,0)))</x:f>
      </x:c>
      <x:c r="L18" s="31" t="str">
        <x:f>IF(I18="","",IF(P18&lt;&gt;"有效","待核",IF($B$4="CT",G18*'模式参数'!$D$25,0)))</x:f>
      </x:c>
      <x:c r="M18" s="31" t="str">
        <x:f>IF(I18="","",IF(P18&lt;&gt;"有效","待核",MIN('模式参数'!$D$10,C18-D18+E18+F18)))</x:f>
      </x:c>
      <x:c r="N18" s="31" t="str">
        <x:f>IF(I18="","",IF(P18&lt;&gt;"有效","待核",MIN('模式参数'!$D$10,M18+J18+K18+L18)))</x:f>
      </x:c>
      <x:c r="O18" s="17" t="str">
        <x:f>IF(I18="","",IF(P18&lt;&gt;"有效","待核",IF(RIGHT(I18,1)="胜",MAX(0,B18-1),MIN('模式参数'!$D$14,B18+1))))</x:f>
      </x:c>
      <x:c r="P18" s="17" t="str">
        <x:f>IF(I18="","",IF(NOT(ISNUMBER(C18)),"前序回合未完成",IF(NOT(AND(ISNUMBER(B18),ISNUMBER(C18),ISNUMBER(D18),ISNUMBER(E18),ISNUMBER(F18),ISNUMBER(G18))),"输入待核",IF(OR(B18&lt;0,B18&gt;4,B18&lt;&gt;INT(B18),C18&lt;0,C18&gt;'模式参数'!$D$10,D18&lt;0,D18&lt;&gt;INT(D18),E18&lt;0,E18&lt;&gt;INT(E18),G18&lt;0,G18&gt;5,G18&lt;&gt;INT(G18),AND(F18&lt;&gt;0,F18&lt;&gt;300),AND($B$4="T",G18&lt;&gt;0)),"输入待核",IF(NOT(OR(AND($B$4="T",OR(I18="歼灭胜",I18="爆炸胜",I18="被歼灭负",I18="超时负",I18="被拆弹负")),AND($B$4="CT",OR(I18="歼灭胜",I18="超时胜",I18="拆弹胜",I18="被歼灭负",I18="被爆破负")))),"阵营与结果不符",IF(D18&gt;C18,"购买支出不合法",IF(OR(NOT(OR(H18="是",H18="否")),AND(I18="被歼灭负",H18="是"),NOT(OR(F18=0,AND($B$4="T",OR(I18="歼灭胜",I18="爆炸胜",I18="被拆弹负")),AND($B$4="CT",I18="拆弹胜")))),"目标／存活状态不符","有效")))))))</x:f>
      </x:c>
    </x:row>
    <x:row r="21">
      <x:c r="A21" t="str">
        <x:v>换边请另起半场，重置现金与档位；本表不把携带装备价格加进现金。</x:v>
      </x:c>
    </x:row>
    <x:row r="23">
      <x:c r="A23" t="str">
        <x:v>有效T淘汰数指服务器计入共享奖的数量，不能直接用全部T死亡数代替。</x:v>
      </x:c>
    </x:row>
  </x:sheetData>
  <x:dataValidations count="7">
    <x:dataValidation type="list" sqref="B4">
      <x:formula1>"T,CT"</x:formula1>
    </x:dataValidation>
    <x:dataValidation type="whole" operator="between" sqref="E4">
      <x:formula1>0</x:formula1>
      <x:formula2>16000</x:formula2>
    </x:dataValidation>
    <x:dataValidation type="whole" operator="between" sqref="H4">
      <x:formula1>0</x:formula1>
      <x:formula2>4</x:formula2>
    </x:dataValidation>
    <x:dataValidation type="whole" operator="between" sqref="D7:F18">
      <x:formula1>0</x:formula1>
      <x:formula2>16000</x:formula2>
    </x:dataValidation>
    <x:dataValidation type="whole" operator="between" sqref="G7:G18">
      <x:formula1>0</x:formula1>
      <x:formula2>5</x:formula2>
    </x:dataValidation>
    <x:dataValidation type="list" sqref="H7:H18">
      <x:formula1>"是,否"</x:formula1>
    </x:dataValidation>
    <x:dataValidation type="list" sqref="I7:I18">
      <x:formula1>"歼灭胜,超时胜,爆炸胜,拆弹胜,被歼灭负,超时负,被爆破负,被拆弹负"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8f2c35628345ff"/>
  </x:tableParts>
</x:worksheet>
</file>

<file path=xl/worksheets/sheet4.xml><?xml version="1.0" encoding="utf-8"?>
<x:worksheet xmlns:x="http://schemas.openxmlformats.org/spreadsheetml/2006/main">
  <x:sheetPr>
    <x:tabColor rgb="FF315C89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30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8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逐笔现金事件账本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3" customHeight="1">
      <x:c r="A4" s="19" t="str">
        <x:v>起始现金</x:v>
      </x:c>
      <x:c r="B4" s="27" t="n">
        <x:v>15900</x:v>
      </x:c>
      <x:c r="C4" s="1"/>
      <x:c r="D4" s="1" t="str">
        <x:v>现金上限</x:v>
      </x:c>
      <x:c r="E4" s="1" t="n">
        <x:f>'模式参数'!$D$10</x:f>
        <x:v>16000</x:v>
      </x:c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14" t="str">
        <x:v>序号</x:v>
      </x:c>
      <x:c r="B6" s="15" t="str">
        <x:v>事件</x:v>
      </x:c>
      <x:c r="C6" s="15" t="str">
        <x:v>金额／数量</x:v>
      </x:c>
      <x:c r="D6" s="15" t="str">
        <x:v>物品ID</x:v>
      </x:c>
      <x:c r="E6" s="15" t="str">
        <x:v>物品实例ID</x:v>
      </x:c>
      <x:c r="F6" s="15" t="str">
        <x:v>资格已确认</x:v>
      </x:c>
      <x:c r="G6" s="15" t="str">
        <x:v>事件前现金</x:v>
      </x:c>
      <x:c r="H6" s="15" t="str">
        <x:v>申请变动</x:v>
      </x:c>
      <x:c r="I6" s="15" t="str">
        <x:v>处理状态</x:v>
      </x:c>
      <x:c r="J6" s="15" t="str">
        <x:v>实际变动</x:v>
      </x:c>
      <x:c r="K6" s="15" t="str">
        <x:v>事件后现金</x:v>
      </x:c>
      <x:c r="L6" s="16" t="str">
        <x:v>上限截断</x:v>
      </x:c>
    </x:row>
    <x:row r="7" ht="28" customHeight="1">
      <x:c r="A7" s="9" t="n">
        <x:v>1</x:v>
      </x:c>
      <x:c r="B7" s="28" t="str">
        <x:v>收入</x:v>
      </x:c>
      <x:c r="C7" s="29" t="n">
        <x:v>300</x:v>
      </x:c>
      <x:c r="D7" s="28" t="str"/>
      <x:c r="E7" s="28" t="str"/>
      <x:c r="F7" s="28" t="str">
        <x:v>是</x:v>
      </x:c>
      <x:c r="G7" s="30" t="n">
        <x:f>IF(B7="","",$B$4)</x:f>
        <x:v>15900</x:v>
      </x:c>
      <x:c r="H7" s="30" t="n">
        <x:f>IF(B7="","",IF(NOT(ISNUMBER(C7)),"金额／数量待核",IF(B7="收入",C7,IF(B7="罚款",-C7,IF(B7="购买",IF(COUNTIFS('价格配置'!$A$7:$A$51,D7)=1,-INDEX('价格配置'!$E$7:$E$51,MATCH(D7,'价格配置'!$A$7:$A$51,0))*C7,"ID待核"),IF(B7="退款",0,"事件待核"))))))</x:f>
        <x:v>300</x:v>
      </x:c>
      <x:c r="I7" s="30" t="str">
        <x:f>IF(B7="","",IF(NOT(ISNUMBER(G7)),"前序未完成",IF(OR(G7&lt;0,G7&gt;$E$4,G7&lt;&gt;INT(G7)),"期初现金无效",IF(F7&lt;&gt;"是","资格未确认",IF(NOT(ISNUMBER(H7)),"输入待核",IF(OR(C7&lt;0,C7&lt;&gt;INT(C7)),"输入待核",IF(B7="购买",IF(OR(C7&lt;&gt;1,E7=""),"实例／数量无效",IF(G7+H7&lt;0,"余额不足","已入账")),IF(B7="退款","无可退实例","已入账"))))))))</x:f>
        <x:v>已入账</x:v>
      </x:c>
      <x:c r="J7" s="30" t="n">
        <x:f>IF(B7="","",IF(I7="已入账",MIN($E$4,MAX(0,G7+H7))-G7,0))</x:f>
        <x:v>100</x:v>
      </x:c>
      <x:c r="K7" s="30" t="n">
        <x:f>IF(B7="","",IF(ISNUMBER(G7),G7+J7,"待核"))</x:f>
        <x:v>16000</x:v>
      </x:c>
      <x:c r="L7" s="30" t="n">
        <x:f>IF(B7="","",IF(I7="已入账",MAX(0,G7+H7-$E$4),0))</x:f>
        <x:v>200</x:v>
      </x:c>
    </x:row>
    <x:row r="8" ht="28" customHeight="1">
      <x:c r="A8" s="17" t="n">
        <x:v>2</x:v>
      </x:c>
      <x:c r="B8" s="28" t="str">
        <x:v>购买</x:v>
      </x:c>
      <x:c r="C8" s="29" t="n">
        <x:v>1</x:v>
      </x:c>
      <x:c r="D8" s="28" t="str">
        <x:v>weapon_ak47</x:v>
      </x:c>
      <x:c r="E8" s="28" t="str">
        <x:v>P001</x:v>
      </x:c>
      <x:c r="F8" s="28" t="str">
        <x:v>是</x:v>
      </x:c>
      <x:c r="G8" s="31" t="n">
        <x:f>IF(B8="","",IF(K7="","缺少前序",K7))</x:f>
        <x:v>16000</x:v>
      </x:c>
      <x:c r="H8" s="31" t="n">
        <x:f>IF(B8="","",IF(NOT(ISNUMBER(C8)),"金额／数量待核",IF(B8="收入",C8,IF(B8="罚款",-C8,IF(B8="购买",IF(COUNTIFS('价格配置'!$A$7:$A$51,D8)=1,-INDEX('价格配置'!$E$7:$E$51,MATCH(D8,'价格配置'!$A$7:$A$51,0))*C8,"ID待核"),IF(B8="退款",-SUMIFS($J$7:J7,$E$7:E7,E8,$B$7:B7,"购买",$I$7:I7,"已入账"),"事件待核"))))))</x:f>
        <x:v>-2700</x:v>
      </x:c>
      <x:c r="I8" s="31" t="str">
        <x:f>IF(B8="","",IF(NOT(ISNUMBER(G8)),"前序未完成",IF(OR(G8&lt;0,G8&gt;$E$4,G8&lt;&gt;INT(G8)),"期初现金无效",IF(F8&lt;&gt;"是","资格未确认",IF(NOT(ISNUMBER(H8)),"输入待核",IF(OR(C8&lt;0,C8&lt;&gt;INT(C8)),"输入待核",IF(B8="购买",IF(OR(C8&lt;&gt;1,E8="",COUNTIFS($E$7:E7,E8,$B$7:B7,"购买",$I$7:I7,"已入账")&gt;0),"实例／数量无效",IF(G8+H8&lt;0,"余额不足","已入账")),IF(B8="退款",IF(AND(E8&lt;&gt;"",COUNTIFS($E$7:E7,E8,$B$7:B7,"购买",$D$7:D7,D8,$I$7:I7,"已入账")=1,COUNTIFS($E$7:E7,E8,$B$7:B7,"退款",$I$7:I7,"已入账")=0),"已入账","无可退实例"),"已入账"))))))))</x:f>
        <x:v>已入账</x:v>
      </x:c>
      <x:c r="J8" s="31" t="n">
        <x:f>IF(B8="","",IF(I8="已入账",MIN($E$4,MAX(0,G8+H8))-G8,0))</x:f>
        <x:v>-2700</x:v>
      </x:c>
      <x:c r="K8" s="31" t="n">
        <x:f>IF(B8="","",IF(ISNUMBER(G8),G8+J8,"待核"))</x:f>
        <x:v>13300</x:v>
      </x:c>
      <x:c r="L8" s="31" t="n">
        <x:f>IF(B8="","",IF(I8="已入账",MAX(0,G8+H8-$E$4),0))</x:f>
        <x:v>0</x:v>
      </x:c>
    </x:row>
    <x:row r="9" ht="28" customHeight="1">
      <x:c r="A9" s="9" t="n">
        <x:v>3</x:v>
      </x:c>
      <x:c r="B9" s="28" t="str">
        <x:v>退款</x:v>
      </x:c>
      <x:c r="C9" s="29" t="n">
        <x:v>0</x:v>
      </x:c>
      <x:c r="D9" s="28" t="str">
        <x:v>weapon_ak47</x:v>
      </x:c>
      <x:c r="E9" s="28" t="str">
        <x:v>P001</x:v>
      </x:c>
      <x:c r="F9" s="28" t="str">
        <x:v>是</x:v>
      </x:c>
      <x:c r="G9" s="30" t="n">
        <x:f>IF(B9="","",IF(K8="","缺少前序",K8))</x:f>
        <x:v>13300</x:v>
      </x:c>
      <x:c r="H9" s="30" t="n">
        <x:f>IF(B9="","",IF(NOT(ISNUMBER(C9)),"金额／数量待核",IF(B9="收入",C9,IF(B9="罚款",-C9,IF(B9="购买",IF(COUNTIFS('价格配置'!$A$7:$A$51,D9)=1,-INDEX('价格配置'!$E$7:$E$51,MATCH(D9,'价格配置'!$A$7:$A$51,0))*C9,"ID待核"),IF(B9="退款",-SUMIFS($J$7:J8,$E$7:E8,E9,$B$7:B8,"购买",$I$7:I8,"已入账"),"事件待核"))))))</x:f>
        <x:v>2700</x:v>
      </x:c>
      <x:c r="I9" s="30" t="str">
        <x:f>IF(B9="","",IF(NOT(ISNUMBER(G9)),"前序未完成",IF(OR(G9&lt;0,G9&gt;$E$4,G9&lt;&gt;INT(G9)),"期初现金无效",IF(F9&lt;&gt;"是","资格未确认",IF(NOT(ISNUMBER(H9)),"输入待核",IF(OR(C9&lt;0,C9&lt;&gt;INT(C9)),"输入待核",IF(B9="购买",IF(OR(C9&lt;&gt;1,E9="",COUNTIFS($E$7:E8,E9,$B$7:B8,"购买",$I$7:I8,"已入账")&gt;0),"实例／数量无效",IF(G9+H9&lt;0,"余额不足","已入账")),IF(B9="退款",IF(AND(E9&lt;&gt;"",COUNTIFS($E$7:E8,E9,$B$7:B8,"购买",$D$7:D8,D9,$I$7:I8,"已入账")=1,COUNTIFS($E$7:E8,E9,$B$7:B8,"退款",$I$7:I8,"已入账")=0),"已入账","无可退实例"),"已入账"))))))))</x:f>
        <x:v>已入账</x:v>
      </x:c>
      <x:c r="J9" s="30" t="n">
        <x:f>IF(B9="","",IF(I9="已入账",MIN($E$4,MAX(0,G9+H9))-G9,0))</x:f>
        <x:v>2700</x:v>
      </x:c>
      <x:c r="K9" s="30" t="n">
        <x:f>IF(B9="","",IF(ISNUMBER(G9),G9+J9,"待核"))</x:f>
        <x:v>16000</x:v>
      </x:c>
      <x:c r="L9" s="30" t="n">
        <x:f>IF(B9="","",IF(I9="已入账",MAX(0,G9+H9-$E$4),0))</x:f>
        <x:v>0</x:v>
      </x:c>
    </x:row>
    <x:row r="10" ht="28" customHeight="1">
      <x:c r="A10" s="17" t="n">
        <x:v>4</x:v>
      </x:c>
      <x:c r="B10" s="28" t="str">
        <x:v>退款</x:v>
      </x:c>
      <x:c r="C10" s="29" t="n">
        <x:v>0</x:v>
      </x:c>
      <x:c r="D10" s="28" t="str">
        <x:v>weapon_ak47</x:v>
      </x:c>
      <x:c r="E10" s="28" t="str">
        <x:v>P001</x:v>
      </x:c>
      <x:c r="F10" s="28" t="str">
        <x:v>是</x:v>
      </x:c>
      <x:c r="G10" s="31" t="n">
        <x:f>IF(B10="","",IF(K9="","缺少前序",K9))</x:f>
        <x:v>16000</x:v>
      </x:c>
      <x:c r="H10" s="31" t="n">
        <x:f>IF(B10="","",IF(NOT(ISNUMBER(C10)),"金额／数量待核",IF(B10="收入",C10,IF(B10="罚款",-C10,IF(B10="购买",IF(COUNTIFS('价格配置'!$A$7:$A$51,D10)=1,-INDEX('价格配置'!$E$7:$E$51,MATCH(D10,'价格配置'!$A$7:$A$51,0))*C10,"ID待核"),IF(B10="退款",-SUMIFS($J$7:J9,$E$7:E9,E10,$B$7:B9,"购买",$I$7:I9,"已入账"),"事件待核"))))))</x:f>
        <x:v>2700</x:v>
      </x:c>
      <x:c r="I10" s="31" t="str">
        <x:f>IF(B10="","",IF(NOT(ISNUMBER(G10)),"前序未完成",IF(OR(G10&lt;0,G10&gt;$E$4,G10&lt;&gt;INT(G10)),"期初现金无效",IF(F10&lt;&gt;"是","资格未确认",IF(NOT(ISNUMBER(H10)),"输入待核",IF(OR(C10&lt;0,C10&lt;&gt;INT(C10)),"输入待核",IF(B10="购买",IF(OR(C10&lt;&gt;1,E10="",COUNTIFS($E$7:E9,E10,$B$7:B9,"购买",$I$7:I9,"已入账")&gt;0),"实例／数量无效",IF(G10+H10&lt;0,"余额不足","已入账")),IF(B10="退款",IF(AND(E10&lt;&gt;"",COUNTIFS($E$7:E9,E10,$B$7:B9,"购买",$D$7:D9,D10,$I$7:I9,"已入账")=1,COUNTIFS($E$7:E9,E10,$B$7:B9,"退款",$I$7:I9,"已入账")=0),"已入账","无可退实例"),"已入账"))))))))</x:f>
        <x:v>无可退实例</x:v>
      </x:c>
      <x:c r="J10" s="31" t="n">
        <x:f>IF(B10="","",IF(I10="已入账",MIN($E$4,MAX(0,G10+H10))-G10,0))</x:f>
        <x:v>0</x:v>
      </x:c>
      <x:c r="K10" s="31" t="n">
        <x:f>IF(B10="","",IF(ISNUMBER(G10),G10+J10,"待核"))</x:f>
        <x:v>16000</x:v>
      </x:c>
      <x:c r="L10" s="31" t="n">
        <x:f>IF(B10="","",IF(I10="已入账",MAX(0,G10+H10-$E$4),0))</x:f>
        <x:v>0</x:v>
      </x:c>
    </x:row>
    <x:row r="11" ht="28" customHeight="1">
      <x:c r="A11" s="9" t="n">
        <x:v>5</x:v>
      </x:c>
      <x:c r="B11" s="28" t="str"/>
      <x:c r="C11" s="29" t="n">
        <x:v>0</x:v>
      </x:c>
      <x:c r="D11" s="28" t="str"/>
      <x:c r="E11" s="28" t="str"/>
      <x:c r="F11" s="28" t="str">
        <x:v>是</x:v>
      </x:c>
      <x:c r="G11" s="30" t="str">
        <x:f>IF(B11="","",IF(K10="","缺少前序",K10))</x:f>
      </x:c>
      <x:c r="H11" s="30" t="str">
        <x:f>IF(B11="","",IF(NOT(ISNUMBER(C11)),"金额／数量待核",IF(B11="收入",C11,IF(B11="罚款",-C11,IF(B11="购买",IF(COUNTIFS('价格配置'!$A$7:$A$51,D11)=1,-INDEX('价格配置'!$E$7:$E$51,MATCH(D11,'价格配置'!$A$7:$A$51,0))*C11,"ID待核"),IF(B11="退款",-SUMIFS($J$7:J10,$E$7:E10,E11,$B$7:B10,"购买",$I$7:I10,"已入账"),"事件待核"))))))</x:f>
      </x:c>
      <x:c r="I11" s="30" t="str">
        <x:f>IF(B11="","",IF(NOT(ISNUMBER(G11)),"前序未完成",IF(OR(G11&lt;0,G11&gt;$E$4,G11&lt;&gt;INT(G11)),"期初现金无效",IF(F11&lt;&gt;"是","资格未确认",IF(NOT(ISNUMBER(H11)),"输入待核",IF(OR(C11&lt;0,C11&lt;&gt;INT(C11)),"输入待核",IF(B11="购买",IF(OR(C11&lt;&gt;1,E11="",COUNTIFS($E$7:E10,E11,$B$7:B10,"购买",$I$7:I10,"已入账")&gt;0),"实例／数量无效",IF(G11+H11&lt;0,"余额不足","已入账")),IF(B11="退款",IF(AND(E11&lt;&gt;"",COUNTIFS($E$7:E10,E11,$B$7:B10,"购买",$D$7:D10,D11,$I$7:I10,"已入账")=1,COUNTIFS($E$7:E10,E11,$B$7:B10,"退款",$I$7:I10,"已入账")=0),"已入账","无可退实例"),"已入账"))))))))</x:f>
      </x:c>
      <x:c r="J11" s="30" t="str">
        <x:f>IF(B11="","",IF(I11="已入账",MIN($E$4,MAX(0,G11+H11))-G11,0))</x:f>
      </x:c>
      <x:c r="K11" s="30" t="str">
        <x:f>IF(B11="","",IF(ISNUMBER(G11),G11+J11,"待核"))</x:f>
      </x:c>
      <x:c r="L11" s="30" t="str">
        <x:f>IF(B11="","",IF(I11="已入账",MAX(0,G11+H11-$E$4),0))</x:f>
      </x:c>
    </x:row>
    <x:row r="12" ht="28" customHeight="1">
      <x:c r="A12" s="17" t="n">
        <x:v>6</x:v>
      </x:c>
      <x:c r="B12" s="28" t="str"/>
      <x:c r="C12" s="29" t="n">
        <x:v>0</x:v>
      </x:c>
      <x:c r="D12" s="28" t="str"/>
      <x:c r="E12" s="28" t="str"/>
      <x:c r="F12" s="28" t="str">
        <x:v>是</x:v>
      </x:c>
      <x:c r="G12" s="31" t="str">
        <x:f>IF(B12="","",IF(K11="","缺少前序",K11))</x:f>
      </x:c>
      <x:c r="H12" s="31" t="str">
        <x:f>IF(B12="","",IF(NOT(ISNUMBER(C12)),"金额／数量待核",IF(B12="收入",C12,IF(B12="罚款",-C12,IF(B12="购买",IF(COUNTIFS('价格配置'!$A$7:$A$51,D12)=1,-INDEX('价格配置'!$E$7:$E$51,MATCH(D12,'价格配置'!$A$7:$A$51,0))*C12,"ID待核"),IF(B12="退款",-SUMIFS($J$7:J11,$E$7:E11,E12,$B$7:B11,"购买",$I$7:I11,"已入账"),"事件待核"))))))</x:f>
      </x:c>
      <x:c r="I12" s="31" t="str">
        <x:f>IF(B12="","",IF(NOT(ISNUMBER(G12)),"前序未完成",IF(OR(G12&lt;0,G12&gt;$E$4,G12&lt;&gt;INT(G12)),"期初现金无效",IF(F12&lt;&gt;"是","资格未确认",IF(NOT(ISNUMBER(H12)),"输入待核",IF(OR(C12&lt;0,C12&lt;&gt;INT(C12)),"输入待核",IF(B12="购买",IF(OR(C12&lt;&gt;1,E12="",COUNTIFS($E$7:E11,E12,$B$7:B11,"购买",$I$7:I11,"已入账")&gt;0),"实例／数量无效",IF(G12+H12&lt;0,"余额不足","已入账")),IF(B12="退款",IF(AND(E12&lt;&gt;"",COUNTIFS($E$7:E11,E12,$B$7:B11,"购买",$D$7:D11,D12,$I$7:I11,"已入账")=1,COUNTIFS($E$7:E11,E12,$B$7:B11,"退款",$I$7:I11,"已入账")=0),"已入账","无可退实例"),"已入账"))))))))</x:f>
      </x:c>
      <x:c r="J12" s="31" t="str">
        <x:f>IF(B12="","",IF(I12="已入账",MIN($E$4,MAX(0,G12+H12))-G12,0))</x:f>
      </x:c>
      <x:c r="K12" s="31" t="str">
        <x:f>IF(B12="","",IF(ISNUMBER(G12),G12+J12,"待核"))</x:f>
      </x:c>
      <x:c r="L12" s="31" t="str">
        <x:f>IF(B12="","",IF(I12="已入账",MAX(0,G12+H12-$E$4),0))</x:f>
      </x:c>
    </x:row>
    <x:row r="13" ht="28" customHeight="1">
      <x:c r="A13" s="9" t="n">
        <x:v>7</x:v>
      </x:c>
      <x:c r="B13" s="28" t="str"/>
      <x:c r="C13" s="29" t="n">
        <x:v>0</x:v>
      </x:c>
      <x:c r="D13" s="28" t="str"/>
      <x:c r="E13" s="28" t="str"/>
      <x:c r="F13" s="28" t="str">
        <x:v>是</x:v>
      </x:c>
      <x:c r="G13" s="30" t="str">
        <x:f>IF(B13="","",IF(K12="","缺少前序",K12))</x:f>
      </x:c>
      <x:c r="H13" s="30" t="str">
        <x:f>IF(B13="","",IF(NOT(ISNUMBER(C13)),"金额／数量待核",IF(B13="收入",C13,IF(B13="罚款",-C13,IF(B13="购买",IF(COUNTIFS('价格配置'!$A$7:$A$51,D13)=1,-INDEX('价格配置'!$E$7:$E$51,MATCH(D13,'价格配置'!$A$7:$A$51,0))*C13,"ID待核"),IF(B13="退款",-SUMIFS($J$7:J12,$E$7:E12,E13,$B$7:B12,"购买",$I$7:I12,"已入账"),"事件待核"))))))</x:f>
      </x:c>
      <x:c r="I13" s="30" t="str">
        <x:f>IF(B13="","",IF(NOT(ISNUMBER(G13)),"前序未完成",IF(OR(G13&lt;0,G13&gt;$E$4,G13&lt;&gt;INT(G13)),"期初现金无效",IF(F13&lt;&gt;"是","资格未确认",IF(NOT(ISNUMBER(H13)),"输入待核",IF(OR(C13&lt;0,C13&lt;&gt;INT(C13)),"输入待核",IF(B13="购买",IF(OR(C13&lt;&gt;1,E13="",COUNTIFS($E$7:E12,E13,$B$7:B12,"购买",$I$7:I12,"已入账")&gt;0),"实例／数量无效",IF(G13+H13&lt;0,"余额不足","已入账")),IF(B13="退款",IF(AND(E13&lt;&gt;"",COUNTIFS($E$7:E12,E13,$B$7:B12,"购买",$D$7:D12,D13,$I$7:I12,"已入账")=1,COUNTIFS($E$7:E12,E13,$B$7:B12,"退款",$I$7:I12,"已入账")=0),"已入账","无可退实例"),"已入账"))))))))</x:f>
      </x:c>
      <x:c r="J13" s="30" t="str">
        <x:f>IF(B13="","",IF(I13="已入账",MIN($E$4,MAX(0,G13+H13))-G13,0))</x:f>
      </x:c>
      <x:c r="K13" s="30" t="str">
        <x:f>IF(B13="","",IF(ISNUMBER(G13),G13+J13,"待核"))</x:f>
      </x:c>
      <x:c r="L13" s="30" t="str">
        <x:f>IF(B13="","",IF(I13="已入账",MAX(0,G13+H13-$E$4),0))</x:f>
      </x:c>
    </x:row>
    <x:row r="14" ht="28" customHeight="1">
      <x:c r="A14" s="17" t="n">
        <x:v>8</x:v>
      </x:c>
      <x:c r="B14" s="28" t="str"/>
      <x:c r="C14" s="29" t="n">
        <x:v>0</x:v>
      </x:c>
      <x:c r="D14" s="28" t="str"/>
      <x:c r="E14" s="28" t="str"/>
      <x:c r="F14" s="28" t="str">
        <x:v>是</x:v>
      </x:c>
      <x:c r="G14" s="31" t="str">
        <x:f>IF(B14="","",IF(K13="","缺少前序",K13))</x:f>
      </x:c>
      <x:c r="H14" s="31" t="str">
        <x:f>IF(B14="","",IF(NOT(ISNUMBER(C14)),"金额／数量待核",IF(B14="收入",C14,IF(B14="罚款",-C14,IF(B14="购买",IF(COUNTIFS('价格配置'!$A$7:$A$51,D14)=1,-INDEX('价格配置'!$E$7:$E$51,MATCH(D14,'价格配置'!$A$7:$A$51,0))*C14,"ID待核"),IF(B14="退款",-SUMIFS($J$7:J13,$E$7:E13,E14,$B$7:B13,"购买",$I$7:I13,"已入账"),"事件待核"))))))</x:f>
      </x:c>
      <x:c r="I14" s="31" t="str">
        <x:f>IF(B14="","",IF(NOT(ISNUMBER(G14)),"前序未完成",IF(OR(G14&lt;0,G14&gt;$E$4,G14&lt;&gt;INT(G14)),"期初现金无效",IF(F14&lt;&gt;"是","资格未确认",IF(NOT(ISNUMBER(H14)),"输入待核",IF(OR(C14&lt;0,C14&lt;&gt;INT(C14)),"输入待核",IF(B14="购买",IF(OR(C14&lt;&gt;1,E14="",COUNTIFS($E$7:E13,E14,$B$7:B13,"购买",$I$7:I13,"已入账")&gt;0),"实例／数量无效",IF(G14+H14&lt;0,"余额不足","已入账")),IF(B14="退款",IF(AND(E14&lt;&gt;"",COUNTIFS($E$7:E13,E14,$B$7:B13,"购买",$D$7:D13,D14,$I$7:I13,"已入账")=1,COUNTIFS($E$7:E13,E14,$B$7:B13,"退款",$I$7:I13,"已入账")=0),"已入账","无可退实例"),"已入账"))))))))</x:f>
      </x:c>
      <x:c r="J14" s="31" t="str">
        <x:f>IF(B14="","",IF(I14="已入账",MIN($E$4,MAX(0,G14+H14))-G14,0))</x:f>
      </x:c>
      <x:c r="K14" s="31" t="str">
        <x:f>IF(B14="","",IF(ISNUMBER(G14),G14+J14,"待核"))</x:f>
      </x:c>
      <x:c r="L14" s="31" t="str">
        <x:f>IF(B14="","",IF(I14="已入账",MAX(0,G14+H14-$E$4),0))</x:f>
      </x:c>
    </x:row>
    <x:row r="15" ht="28" customHeight="1">
      <x:c r="A15" s="9" t="n">
        <x:v>9</x:v>
      </x:c>
      <x:c r="B15" s="28" t="str"/>
      <x:c r="C15" s="29" t="n">
        <x:v>0</x:v>
      </x:c>
      <x:c r="D15" s="28" t="str"/>
      <x:c r="E15" s="28" t="str"/>
      <x:c r="F15" s="28" t="str">
        <x:v>是</x:v>
      </x:c>
      <x:c r="G15" s="30" t="str">
        <x:f>IF(B15="","",IF(K14="","缺少前序",K14))</x:f>
      </x:c>
      <x:c r="H15" s="30" t="str">
        <x:f>IF(B15="","",IF(NOT(ISNUMBER(C15)),"金额／数量待核",IF(B15="收入",C15,IF(B15="罚款",-C15,IF(B15="购买",IF(COUNTIFS('价格配置'!$A$7:$A$51,D15)=1,-INDEX('价格配置'!$E$7:$E$51,MATCH(D15,'价格配置'!$A$7:$A$51,0))*C15,"ID待核"),IF(B15="退款",-SUMIFS($J$7:J14,$E$7:E14,E15,$B$7:B14,"购买",$I$7:I14,"已入账"),"事件待核"))))))</x:f>
      </x:c>
      <x:c r="I15" s="30" t="str">
        <x:f>IF(B15="","",IF(NOT(ISNUMBER(G15)),"前序未完成",IF(OR(G15&lt;0,G15&gt;$E$4,G15&lt;&gt;INT(G15)),"期初现金无效",IF(F15&lt;&gt;"是","资格未确认",IF(NOT(ISNUMBER(H15)),"输入待核",IF(OR(C15&lt;0,C15&lt;&gt;INT(C15)),"输入待核",IF(B15="购买",IF(OR(C15&lt;&gt;1,E15="",COUNTIFS($E$7:E14,E15,$B$7:B14,"购买",$I$7:I14,"已入账")&gt;0),"实例／数量无效",IF(G15+H15&lt;0,"余额不足","已入账")),IF(B15="退款",IF(AND(E15&lt;&gt;"",COUNTIFS($E$7:E14,E15,$B$7:B14,"购买",$D$7:D14,D15,$I$7:I14,"已入账")=1,COUNTIFS($E$7:E14,E15,$B$7:B14,"退款",$I$7:I14,"已入账")=0),"已入账","无可退实例"),"已入账"))))))))</x:f>
      </x:c>
      <x:c r="J15" s="30" t="str">
        <x:f>IF(B15="","",IF(I15="已入账",MIN($E$4,MAX(0,G15+H15))-G15,0))</x:f>
      </x:c>
      <x:c r="K15" s="30" t="str">
        <x:f>IF(B15="","",IF(ISNUMBER(G15),G15+J15,"待核"))</x:f>
      </x:c>
      <x:c r="L15" s="30" t="str">
        <x:f>IF(B15="","",IF(I15="已入账",MAX(0,G15+H15-$E$4),0))</x:f>
      </x:c>
    </x:row>
    <x:row r="16" ht="28" customHeight="1">
      <x:c r="A16" s="17" t="n">
        <x:v>10</x:v>
      </x:c>
      <x:c r="B16" s="28" t="str"/>
      <x:c r="C16" s="29" t="n">
        <x:v>0</x:v>
      </x:c>
      <x:c r="D16" s="28" t="str"/>
      <x:c r="E16" s="28" t="str"/>
      <x:c r="F16" s="28" t="str">
        <x:v>是</x:v>
      </x:c>
      <x:c r="G16" s="31" t="str">
        <x:f>IF(B16="","",IF(K15="","缺少前序",K15))</x:f>
      </x:c>
      <x:c r="H16" s="31" t="str">
        <x:f>IF(B16="","",IF(NOT(ISNUMBER(C16)),"金额／数量待核",IF(B16="收入",C16,IF(B16="罚款",-C16,IF(B16="购买",IF(COUNTIFS('价格配置'!$A$7:$A$51,D16)=1,-INDEX('价格配置'!$E$7:$E$51,MATCH(D16,'价格配置'!$A$7:$A$51,0))*C16,"ID待核"),IF(B16="退款",-SUMIFS($J$7:J15,$E$7:E15,E16,$B$7:B15,"购买",$I$7:I15,"已入账"),"事件待核"))))))</x:f>
      </x:c>
      <x:c r="I16" s="31" t="str">
        <x:f>IF(B16="","",IF(NOT(ISNUMBER(G16)),"前序未完成",IF(OR(G16&lt;0,G16&gt;$E$4,G16&lt;&gt;INT(G16)),"期初现金无效",IF(F16&lt;&gt;"是","资格未确认",IF(NOT(ISNUMBER(H16)),"输入待核",IF(OR(C16&lt;0,C16&lt;&gt;INT(C16)),"输入待核",IF(B16="购买",IF(OR(C16&lt;&gt;1,E16="",COUNTIFS($E$7:E15,E16,$B$7:B15,"购买",$I$7:I15,"已入账")&gt;0),"实例／数量无效",IF(G16+H16&lt;0,"余额不足","已入账")),IF(B16="退款",IF(AND(E16&lt;&gt;"",COUNTIFS($E$7:E15,E16,$B$7:B15,"购买",$D$7:D15,D16,$I$7:I15,"已入账")=1,COUNTIFS($E$7:E15,E16,$B$7:B15,"退款",$I$7:I15,"已入账")=0),"已入账","无可退实例"),"已入账"))))))))</x:f>
      </x:c>
      <x:c r="J16" s="31" t="str">
        <x:f>IF(B16="","",IF(I16="已入账",MIN($E$4,MAX(0,G16+H16))-G16,0))</x:f>
      </x:c>
      <x:c r="K16" s="31" t="str">
        <x:f>IF(B16="","",IF(ISNUMBER(G16),G16+J16,"待核"))</x:f>
      </x:c>
      <x:c r="L16" s="31" t="str">
        <x:f>IF(B16="","",IF(I16="已入账",MAX(0,G16+H16-$E$4),0))</x:f>
      </x:c>
    </x:row>
    <x:row r="17" ht="28" customHeight="1">
      <x:c r="A17" s="9" t="n">
        <x:v>11</x:v>
      </x:c>
      <x:c r="B17" s="28" t="str"/>
      <x:c r="C17" s="29" t="n">
        <x:v>0</x:v>
      </x:c>
      <x:c r="D17" s="28" t="str"/>
      <x:c r="E17" s="28" t="str"/>
      <x:c r="F17" s="28" t="str">
        <x:v>是</x:v>
      </x:c>
      <x:c r="G17" s="30" t="str">
        <x:f>IF(B17="","",IF(K16="","缺少前序",K16))</x:f>
      </x:c>
      <x:c r="H17" s="30" t="str">
        <x:f>IF(B17="","",IF(NOT(ISNUMBER(C17)),"金额／数量待核",IF(B17="收入",C17,IF(B17="罚款",-C17,IF(B17="购买",IF(COUNTIFS('价格配置'!$A$7:$A$51,D17)=1,-INDEX('价格配置'!$E$7:$E$51,MATCH(D17,'价格配置'!$A$7:$A$51,0))*C17,"ID待核"),IF(B17="退款",-SUMIFS($J$7:J16,$E$7:E16,E17,$B$7:B16,"购买",$I$7:I16,"已入账"),"事件待核"))))))</x:f>
      </x:c>
      <x:c r="I17" s="30" t="str">
        <x:f>IF(B17="","",IF(NOT(ISNUMBER(G17)),"前序未完成",IF(OR(G17&lt;0,G17&gt;$E$4,G17&lt;&gt;INT(G17)),"期初现金无效",IF(F17&lt;&gt;"是","资格未确认",IF(NOT(ISNUMBER(H17)),"输入待核",IF(OR(C17&lt;0,C17&lt;&gt;INT(C17)),"输入待核",IF(B17="购买",IF(OR(C17&lt;&gt;1,E17="",COUNTIFS($E$7:E16,E17,$B$7:B16,"购买",$I$7:I16,"已入账")&gt;0),"实例／数量无效",IF(G17+H17&lt;0,"余额不足","已入账")),IF(B17="退款",IF(AND(E17&lt;&gt;"",COUNTIFS($E$7:E16,E17,$B$7:B16,"购买",$D$7:D16,D17,$I$7:I16,"已入账")=1,COUNTIFS($E$7:E16,E17,$B$7:B16,"退款",$I$7:I16,"已入账")=0),"已入账","无可退实例"),"已入账"))))))))</x:f>
      </x:c>
      <x:c r="J17" s="30" t="str">
        <x:f>IF(B17="","",IF(I17="已入账",MIN($E$4,MAX(0,G17+H17))-G17,0))</x:f>
      </x:c>
      <x:c r="K17" s="30" t="str">
        <x:f>IF(B17="","",IF(ISNUMBER(G17),G17+J17,"待核"))</x:f>
      </x:c>
      <x:c r="L17" s="30" t="str">
        <x:f>IF(B17="","",IF(I17="已入账",MAX(0,G17+H17-$E$4),0))</x:f>
      </x:c>
    </x:row>
    <x:row r="18" ht="28" customHeight="1">
      <x:c r="A18" s="17" t="n">
        <x:v>12</x:v>
      </x:c>
      <x:c r="B18" s="28" t="str"/>
      <x:c r="C18" s="29" t="n">
        <x:v>0</x:v>
      </x:c>
      <x:c r="D18" s="28" t="str"/>
      <x:c r="E18" s="28" t="str"/>
      <x:c r="F18" s="28" t="str">
        <x:v>是</x:v>
      </x:c>
      <x:c r="G18" s="31" t="str">
        <x:f>IF(B18="","",IF(K17="","缺少前序",K17))</x:f>
      </x:c>
      <x:c r="H18" s="31" t="str">
        <x:f>IF(B18="","",IF(NOT(ISNUMBER(C18)),"金额／数量待核",IF(B18="收入",C18,IF(B18="罚款",-C18,IF(B18="购买",IF(COUNTIFS('价格配置'!$A$7:$A$51,D18)=1,-INDEX('价格配置'!$E$7:$E$51,MATCH(D18,'价格配置'!$A$7:$A$51,0))*C18,"ID待核"),IF(B18="退款",-SUMIFS($J$7:J17,$E$7:E17,E18,$B$7:B17,"购买",$I$7:I17,"已入账"),"事件待核"))))))</x:f>
      </x:c>
      <x:c r="I18" s="31" t="str">
        <x:f>IF(B18="","",IF(NOT(ISNUMBER(G18)),"前序未完成",IF(OR(G18&lt;0,G18&gt;$E$4,G18&lt;&gt;INT(G18)),"期初现金无效",IF(F18&lt;&gt;"是","资格未确认",IF(NOT(ISNUMBER(H18)),"输入待核",IF(OR(C18&lt;0,C18&lt;&gt;INT(C18)),"输入待核",IF(B18="购买",IF(OR(C18&lt;&gt;1,E18="",COUNTIFS($E$7:E17,E18,$B$7:B17,"购买",$I$7:I17,"已入账")&gt;0),"实例／数量无效",IF(G18+H18&lt;0,"余额不足","已入账")),IF(B18="退款",IF(AND(E18&lt;&gt;"",COUNTIFS($E$7:E17,E18,$B$7:B17,"购买",$D$7:D17,D18,$I$7:I17,"已入账")=1,COUNTIFS($E$7:E17,E18,$B$7:B17,"退款",$I$7:I17,"已入账")=0),"已入账","无可退实例"),"已入账"))))))))</x:f>
      </x:c>
      <x:c r="J18" s="31" t="str">
        <x:f>IF(B18="","",IF(I18="已入账",MIN($E$4,MAX(0,G18+H18))-G18,0))</x:f>
      </x:c>
      <x:c r="K18" s="31" t="str">
        <x:f>IF(B18="","",IF(ISNUMBER(G18),G18+J18,"待核"))</x:f>
      </x:c>
      <x:c r="L18" s="31" t="str">
        <x:f>IF(B18="","",IF(I18="已入账",MAX(0,G18+H18-$E$4),0))</x:f>
      </x:c>
    </x:row>
    <x:row r="19" ht="28" customHeight="1">
      <x:c r="A19" s="9" t="n">
        <x:v>13</x:v>
      </x:c>
      <x:c r="B19" s="28" t="str"/>
      <x:c r="C19" s="29" t="n">
        <x:v>0</x:v>
      </x:c>
      <x:c r="D19" s="28" t="str"/>
      <x:c r="E19" s="28" t="str"/>
      <x:c r="F19" s="28" t="str">
        <x:v>是</x:v>
      </x:c>
      <x:c r="G19" s="30" t="str">
        <x:f>IF(B19="","",IF(K18="","缺少前序",K18))</x:f>
      </x:c>
      <x:c r="H19" s="30" t="str">
        <x:f>IF(B19="","",IF(NOT(ISNUMBER(C19)),"金额／数量待核",IF(B19="收入",C19,IF(B19="罚款",-C19,IF(B19="购买",IF(COUNTIFS('价格配置'!$A$7:$A$51,D19)=1,-INDEX('价格配置'!$E$7:$E$51,MATCH(D19,'价格配置'!$A$7:$A$51,0))*C19,"ID待核"),IF(B19="退款",-SUMIFS($J$7:J18,$E$7:E18,E19,$B$7:B18,"购买",$I$7:I18,"已入账"),"事件待核"))))))</x:f>
      </x:c>
      <x:c r="I19" s="30" t="str">
        <x:f>IF(B19="","",IF(NOT(ISNUMBER(G19)),"前序未完成",IF(OR(G19&lt;0,G19&gt;$E$4,G19&lt;&gt;INT(G19)),"期初现金无效",IF(F19&lt;&gt;"是","资格未确认",IF(NOT(ISNUMBER(H19)),"输入待核",IF(OR(C19&lt;0,C19&lt;&gt;INT(C19)),"输入待核",IF(B19="购买",IF(OR(C19&lt;&gt;1,E19="",COUNTIFS($E$7:E18,E19,$B$7:B18,"购买",$I$7:I18,"已入账")&gt;0),"实例／数量无效",IF(G19+H19&lt;0,"余额不足","已入账")),IF(B19="退款",IF(AND(E19&lt;&gt;"",COUNTIFS($E$7:E18,E19,$B$7:B18,"购买",$D$7:D18,D19,$I$7:I18,"已入账")=1,COUNTIFS($E$7:E18,E19,$B$7:B18,"退款",$I$7:I18,"已入账")=0),"已入账","无可退实例"),"已入账"))))))))</x:f>
      </x:c>
      <x:c r="J19" s="30" t="str">
        <x:f>IF(B19="","",IF(I19="已入账",MIN($E$4,MAX(0,G19+H19))-G19,0))</x:f>
      </x:c>
      <x:c r="K19" s="30" t="str">
        <x:f>IF(B19="","",IF(ISNUMBER(G19),G19+J19,"待核"))</x:f>
      </x:c>
      <x:c r="L19" s="30" t="str">
        <x:f>IF(B19="","",IF(I19="已入账",MAX(0,G19+H19-$E$4),0))</x:f>
      </x:c>
    </x:row>
    <x:row r="20" ht="28" customHeight="1">
      <x:c r="A20" s="17" t="n">
        <x:v>14</x:v>
      </x:c>
      <x:c r="B20" s="28" t="str"/>
      <x:c r="C20" s="29" t="n">
        <x:v>0</x:v>
      </x:c>
      <x:c r="D20" s="28" t="str"/>
      <x:c r="E20" s="28" t="str"/>
      <x:c r="F20" s="28" t="str">
        <x:v>是</x:v>
      </x:c>
      <x:c r="G20" s="31" t="str">
        <x:f>IF(B20="","",IF(K19="","缺少前序",K19))</x:f>
      </x:c>
      <x:c r="H20" s="31" t="str">
        <x:f>IF(B20="","",IF(NOT(ISNUMBER(C20)),"金额／数量待核",IF(B20="收入",C20,IF(B20="罚款",-C20,IF(B20="购买",IF(COUNTIFS('价格配置'!$A$7:$A$51,D20)=1,-INDEX('价格配置'!$E$7:$E$51,MATCH(D20,'价格配置'!$A$7:$A$51,0))*C20,"ID待核"),IF(B20="退款",-SUMIFS($J$7:J19,$E$7:E19,E20,$B$7:B19,"购买",$I$7:I19,"已入账"),"事件待核"))))))</x:f>
      </x:c>
      <x:c r="I20" s="31" t="str">
        <x:f>IF(B20="","",IF(NOT(ISNUMBER(G20)),"前序未完成",IF(OR(G20&lt;0,G20&gt;$E$4,G20&lt;&gt;INT(G20)),"期初现金无效",IF(F20&lt;&gt;"是","资格未确认",IF(NOT(ISNUMBER(H20)),"输入待核",IF(OR(C20&lt;0,C20&lt;&gt;INT(C20)),"输入待核",IF(B20="购买",IF(OR(C20&lt;&gt;1,E20="",COUNTIFS($E$7:E19,E20,$B$7:B19,"购买",$I$7:I19,"已入账")&gt;0),"实例／数量无效",IF(G20+H20&lt;0,"余额不足","已入账")),IF(B20="退款",IF(AND(E20&lt;&gt;"",COUNTIFS($E$7:E19,E20,$B$7:B19,"购买",$D$7:D19,D20,$I$7:I19,"已入账")=1,COUNTIFS($E$7:E19,E20,$B$7:B19,"退款",$I$7:I19,"已入账")=0),"已入账","无可退实例"),"已入账"))))))))</x:f>
      </x:c>
      <x:c r="J20" s="31" t="str">
        <x:f>IF(B20="","",IF(I20="已入账",MIN($E$4,MAX(0,G20+H20))-G20,0))</x:f>
      </x:c>
      <x:c r="K20" s="31" t="str">
        <x:f>IF(B20="","",IF(ISNUMBER(G20),G20+J20,"待核"))</x:f>
      </x:c>
      <x:c r="L20" s="31" t="str">
        <x:f>IF(B20="","",IF(I20="已入账",MAX(0,G20+H20-$E$4),0))</x:f>
      </x:c>
    </x:row>
    <x:row r="21" ht="28" customHeight="1">
      <x:c r="A21" s="9" t="n">
        <x:v>15</x:v>
      </x:c>
      <x:c r="B21" s="28" t="str"/>
      <x:c r="C21" s="29" t="n">
        <x:v>0</x:v>
      </x:c>
      <x:c r="D21" s="28" t="str"/>
      <x:c r="E21" s="28" t="str"/>
      <x:c r="F21" s="28" t="str">
        <x:v>是</x:v>
      </x:c>
      <x:c r="G21" s="30" t="str">
        <x:f>IF(B21="","",IF(K20="","缺少前序",K20))</x:f>
      </x:c>
      <x:c r="H21" s="30" t="str">
        <x:f>IF(B21="","",IF(NOT(ISNUMBER(C21)),"金额／数量待核",IF(B21="收入",C21,IF(B21="罚款",-C21,IF(B21="购买",IF(COUNTIFS('价格配置'!$A$7:$A$51,D21)=1,-INDEX('价格配置'!$E$7:$E$51,MATCH(D21,'价格配置'!$A$7:$A$51,0))*C21,"ID待核"),IF(B21="退款",-SUMIFS($J$7:J20,$E$7:E20,E21,$B$7:B20,"购买",$I$7:I20,"已入账"),"事件待核"))))))</x:f>
      </x:c>
      <x:c r="I21" s="30" t="str">
        <x:f>IF(B21="","",IF(NOT(ISNUMBER(G21)),"前序未完成",IF(OR(G21&lt;0,G21&gt;$E$4,G21&lt;&gt;INT(G21)),"期初现金无效",IF(F21&lt;&gt;"是","资格未确认",IF(NOT(ISNUMBER(H21)),"输入待核",IF(OR(C21&lt;0,C21&lt;&gt;INT(C21)),"输入待核",IF(B21="购买",IF(OR(C21&lt;&gt;1,E21="",COUNTIFS($E$7:E20,E21,$B$7:B20,"购买",$I$7:I20,"已入账")&gt;0),"实例／数量无效",IF(G21+H21&lt;0,"余额不足","已入账")),IF(B21="退款",IF(AND(E21&lt;&gt;"",COUNTIFS($E$7:E20,E21,$B$7:B20,"购买",$D$7:D20,D21,$I$7:I20,"已入账")=1,COUNTIFS($E$7:E20,E21,$B$7:B20,"退款",$I$7:I20,"已入账")=0),"已入账","无可退实例"),"已入账"))))))))</x:f>
      </x:c>
      <x:c r="J21" s="30" t="str">
        <x:f>IF(B21="","",IF(I21="已入账",MIN($E$4,MAX(0,G21+H21))-G21,0))</x:f>
      </x:c>
      <x:c r="K21" s="30" t="str">
        <x:f>IF(B21="","",IF(ISNUMBER(G21),G21+J21,"待核"))</x:f>
      </x:c>
      <x:c r="L21" s="30" t="str">
        <x:f>IF(B21="","",IF(I21="已入账",MAX(0,G21+H21-$E$4),0))</x:f>
      </x:c>
    </x:row>
    <x:row r="22" ht="28" customHeight="1">
      <x:c r="A22" s="17" t="n">
        <x:v>16</x:v>
      </x:c>
      <x:c r="B22" s="28" t="str"/>
      <x:c r="C22" s="29" t="n">
        <x:v>0</x:v>
      </x:c>
      <x:c r="D22" s="28" t="str"/>
      <x:c r="E22" s="28" t="str"/>
      <x:c r="F22" s="28" t="str">
        <x:v>是</x:v>
      </x:c>
      <x:c r="G22" s="31" t="str">
        <x:f>IF(B22="","",IF(K21="","缺少前序",K21))</x:f>
      </x:c>
      <x:c r="H22" s="31" t="str">
        <x:f>IF(B22="","",IF(NOT(ISNUMBER(C22)),"金额／数量待核",IF(B22="收入",C22,IF(B22="罚款",-C22,IF(B22="购买",IF(COUNTIFS('价格配置'!$A$7:$A$51,D22)=1,-INDEX('价格配置'!$E$7:$E$51,MATCH(D22,'价格配置'!$A$7:$A$51,0))*C22,"ID待核"),IF(B22="退款",-SUMIFS($J$7:J21,$E$7:E21,E22,$B$7:B21,"购买",$I$7:I21,"已入账"),"事件待核"))))))</x:f>
      </x:c>
      <x:c r="I22" s="31" t="str">
        <x:f>IF(B22="","",IF(NOT(ISNUMBER(G22)),"前序未完成",IF(OR(G22&lt;0,G22&gt;$E$4,G22&lt;&gt;INT(G22)),"期初现金无效",IF(F22&lt;&gt;"是","资格未确认",IF(NOT(ISNUMBER(H22)),"输入待核",IF(OR(C22&lt;0,C22&lt;&gt;INT(C22)),"输入待核",IF(B22="购买",IF(OR(C22&lt;&gt;1,E22="",COUNTIFS($E$7:E21,E22,$B$7:B21,"购买",$I$7:I21,"已入账")&gt;0),"实例／数量无效",IF(G22+H22&lt;0,"余额不足","已入账")),IF(B22="退款",IF(AND(E22&lt;&gt;"",COUNTIFS($E$7:E21,E22,$B$7:B21,"购买",$D$7:D21,D22,$I$7:I21,"已入账")=1,COUNTIFS($E$7:E21,E22,$B$7:B21,"退款",$I$7:I21,"已入账")=0),"已入账","无可退实例"),"已入账"))))))))</x:f>
      </x:c>
      <x:c r="J22" s="31" t="str">
        <x:f>IF(B22="","",IF(I22="已入账",MIN($E$4,MAX(0,G22+H22))-G22,0))</x:f>
      </x:c>
      <x:c r="K22" s="31" t="str">
        <x:f>IF(B22="","",IF(ISNUMBER(G22),G22+J22,"待核"))</x:f>
      </x:c>
      <x:c r="L22" s="31" t="str">
        <x:f>IF(B22="","",IF(I22="已入账",MAX(0,G22+H22-$E$4),0))</x:f>
      </x:c>
    </x:row>
    <x:row r="25">
      <x:c r="A25" t="str">
        <x:v>示例：15,900先入300触顶，再买AK为13,300；按原实例退回后16,000，再退被拒绝。</x:v>
      </x:c>
    </x:row>
    <x:row r="27">
      <x:c r="A27" t="str">
        <x:v>“资格已确认”由实际条件提供；本页不是服务器退款资格检测器。</x:v>
      </x:c>
    </x:row>
    <x:row r="29">
      <x:c r="A29" t="str">
        <x:v>收入／罚款填金额；购买仅填数量1并分配新实例ID；退款填写原物品与实例ID。</x:v>
      </x:c>
    </x:row>
  </x:sheetData>
  <x:dataValidations count="5">
    <x:dataValidation type="whole" operator="between" sqref="B4">
      <x:formula1>0</x:formula1>
      <x:formula2>16000</x:formula2>
    </x:dataValidation>
    <x:dataValidation type="list" sqref="B7:B22">
      <x:formula1>"收入,购买,退款,罚款"</x:formula1>
    </x:dataValidation>
    <x:dataValidation type="whole" operator="between" sqref="C7:C22">
      <x:formula1>0</x:formula1>
      <x:formula2>16000</x:formula2>
    </x:dataValidation>
    <x:dataValidation type="list" sqref="D7:D22">
      <x:formula1>'价格配置'!$A$7:$A$51</x:formula1>
    </x:dataValidation>
    <x:dataValidation type="list" sqref="F7:F22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afd6672012431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0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65" hidden="0" customWidth="1"/>
    <x:col min="9" max="9" width="20" hidden="0" customWidth="1"/>
    <x:col min="10" max="10" width="25" hidden="0" customWidth="1"/>
    <x:col min="11" max="11" width="8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3" customHeight="1">
      <x:c r="A2" s="2" t="str">
        <x:v>武器与装备经济配置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3" customHeight="1">
      <x:c r="A4" s="19" t="str">
        <x:v>45条：34把常规枪、刀、电击器、6种投掷物、3种装备。刀0表示免费默认装备；不表示可购买。防具不具备击杀能力，击杀奖励留空。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4" customHeight="1">
      <x:c r="A6" s="14" t="str">
        <x:v>游戏配置ID</x:v>
      </x:c>
      <x:c r="B6" s="15" t="str">
        <x:v>名称</x:v>
      </x:c>
      <x:c r="C6" s="15" t="str">
        <x:v>类别</x:v>
      </x:c>
      <x:c r="D6" s="15" t="str">
        <x:v>可购阵营</x:v>
      </x:c>
      <x:c r="E6" s="15" t="str">
        <x:v>购买标价</x:v>
      </x:c>
      <x:c r="F6" s="15" t="str">
        <x:v>个人击杀奖励</x:v>
      </x:c>
      <x:c r="G6" s="15" t="str">
        <x:v>单位</x:v>
      </x:c>
      <x:c r="H6" s="15" t="str">
        <x:v>适用范围</x:v>
      </x:c>
      <x:c r="I6" s="15" t="str">
        <x:v>来源ID</x:v>
      </x:c>
      <x:c r="J6" s="15" t="str">
        <x:v>证据状态</x:v>
      </x:c>
      <x:c r="K6" s="16" t="str">
        <x:v>配置说明</x:v>
      </x:c>
    </x:row>
    <x:row r="7" ht="38" customHeight="1">
      <x:c r="A7" s="9" t="str">
        <x:v>weapon_glock</x:v>
      </x:c>
      <x:c r="B7" s="9" t="str">
        <x:v>Glock-18</x:v>
      </x:c>
      <x:c r="C7" s="9" t="str">
        <x:v>手枪</x:v>
      </x:c>
      <x:c r="D7" s="9" t="str">
        <x:v>T</x:v>
      </x:c>
      <x:c r="E7" s="22" t="n">
        <x:v>200</x:v>
      </x:c>
      <x:c r="F7" s="22" t="n">
        <x:v>300</x:v>
      </x:c>
      <x:c r="G7" s="9" t="str">
        <x:v>对局美元</x:v>
      </x:c>
      <x:c r="H7" s="9" t="str">
        <x:v>标准5v5；需进入该阵营配装或为通用装备</x:v>
      </x:c>
      <x:c r="I7" s="9" t="str">
        <x:v>E04;E05</x:v>
      </x:c>
      <x:c r="J7" s="9" t="str">
        <x:v>配置核对</x:v>
      </x:c>
      <x:c r="K7" s="9" t="str">
        <x:v>默认配装手枪在符合重生条件时免费发放；价格是主动购买标价，不代表每回合都需付费。</x:v>
      </x:c>
    </x:row>
    <x:row r="8" ht="38" customHeight="1">
      <x:c r="A8" s="17" t="str">
        <x:v>weapon_hkp2000</x:v>
      </x:c>
      <x:c r="B8" s="17" t="str">
        <x:v>P2000</x:v>
      </x:c>
      <x:c r="C8" s="17" t="str">
        <x:v>手枪</x:v>
      </x:c>
      <x:c r="D8" s="17" t="str">
        <x:v>CT</x:v>
      </x:c>
      <x:c r="E8" s="23" t="n">
        <x:v>200</x:v>
      </x:c>
      <x:c r="F8" s="23" t="n">
        <x:v>300</x:v>
      </x:c>
      <x:c r="G8" s="17" t="str">
        <x:v>对局美元</x:v>
      </x:c>
      <x:c r="H8" s="17" t="str">
        <x:v>标准5v5；需进入该阵营配装或为通用装备</x:v>
      </x:c>
      <x:c r="I8" s="17" t="str">
        <x:v>E04;E05</x:v>
      </x:c>
      <x:c r="J8" s="17" t="str">
        <x:v>配置核对</x:v>
      </x:c>
      <x:c r="K8" s="17" t="str">
        <x:v>默认配装手枪在符合重生条件时免费发放；价格是主动购买标价，不代表每回合都需付费。</x:v>
      </x:c>
    </x:row>
    <x:row r="9" ht="38" customHeight="1">
      <x:c r="A9" s="9" t="str">
        <x:v>weapon_usp_silencer</x:v>
      </x:c>
      <x:c r="B9" s="9" t="str">
        <x:v>USP-S</x:v>
      </x:c>
      <x:c r="C9" s="9" t="str">
        <x:v>手枪</x:v>
      </x:c>
      <x:c r="D9" s="9" t="str">
        <x:v>CT</x:v>
      </x:c>
      <x:c r="E9" s="22" t="n">
        <x:v>200</x:v>
      </x:c>
      <x:c r="F9" s="22" t="n">
        <x:v>300</x:v>
      </x:c>
      <x:c r="G9" s="9" t="str">
        <x:v>对局美元</x:v>
      </x:c>
      <x:c r="H9" s="9" t="str">
        <x:v>标准5v5；需进入该阵营配装或为通用装备</x:v>
      </x:c>
      <x:c r="I9" s="9" t="str">
        <x:v>E04;E05</x:v>
      </x:c>
      <x:c r="J9" s="9" t="str">
        <x:v>配置核对</x:v>
      </x:c>
      <x:c r="K9" s="9" t="str">
        <x:v>默认配装手枪在符合重生条件时免费发放；价格是主动购买标价，不代表每回合都需付费。</x:v>
      </x:c>
    </x:row>
    <x:row r="10" ht="28" customHeight="1">
      <x:c r="A10" s="17" t="str">
        <x:v>weapon_elite</x:v>
      </x:c>
      <x:c r="B10" s="17" t="str">
        <x:v>Dual Berettas</x:v>
      </x:c>
      <x:c r="C10" s="17" t="str">
        <x:v>手枪</x:v>
      </x:c>
      <x:c r="D10" s="17" t="str">
        <x:v>T/CT</x:v>
      </x:c>
      <x:c r="E10" s="23" t="n">
        <x:v>300</x:v>
      </x:c>
      <x:c r="F10" s="23" t="n">
        <x:v>300</x:v>
      </x:c>
      <x:c r="G10" s="17" t="str">
        <x:v>对局美元</x:v>
      </x:c>
      <x:c r="H10" s="17" t="str">
        <x:v>标准5v5；需进入该阵营配装或为通用装备</x:v>
      </x:c>
      <x:c r="I10" s="17" t="str">
        <x:v>E04;E05</x:v>
      </x:c>
      <x:c r="J10" s="17" t="str">
        <x:v>配置核对</x:v>
      </x:c>
      <x:c r="K10" s="17" t="str"/>
    </x:row>
    <x:row r="11" ht="28" customHeight="1">
      <x:c r="A11" s="9" t="str">
        <x:v>weapon_p250</x:v>
      </x:c>
      <x:c r="B11" s="9" t="str">
        <x:v>P250</x:v>
      </x:c>
      <x:c r="C11" s="9" t="str">
        <x:v>手枪</x:v>
      </x:c>
      <x:c r="D11" s="9" t="str">
        <x:v>T/CT</x:v>
      </x:c>
      <x:c r="E11" s="22" t="n">
        <x:v>300</x:v>
      </x:c>
      <x:c r="F11" s="22" t="n">
        <x:v>300</x:v>
      </x:c>
      <x:c r="G11" s="9" t="str">
        <x:v>对局美元</x:v>
      </x:c>
      <x:c r="H11" s="9" t="str">
        <x:v>标准5v5；需进入该阵营配装或为通用装备</x:v>
      </x:c>
      <x:c r="I11" s="9" t="str">
        <x:v>E04;E05</x:v>
      </x:c>
      <x:c r="J11" s="9" t="str">
        <x:v>配置核对</x:v>
      </x:c>
      <x:c r="K11" s="9" t="str"/>
    </x:row>
    <x:row r="12" ht="28" customHeight="1">
      <x:c r="A12" s="17" t="str">
        <x:v>weapon_fiveseven</x:v>
      </x:c>
      <x:c r="B12" s="17" t="str">
        <x:v>Five-SeveN</x:v>
      </x:c>
      <x:c r="C12" s="17" t="str">
        <x:v>手枪</x:v>
      </x:c>
      <x:c r="D12" s="17" t="str">
        <x:v>CT</x:v>
      </x:c>
      <x:c r="E12" s="23" t="n">
        <x:v>500</x:v>
      </x:c>
      <x:c r="F12" s="23" t="n">
        <x:v>300</x:v>
      </x:c>
      <x:c r="G12" s="17" t="str">
        <x:v>对局美元</x:v>
      </x:c>
      <x:c r="H12" s="17" t="str">
        <x:v>标准5v5；需进入该阵营配装或为通用装备</x:v>
      </x:c>
      <x:c r="I12" s="17" t="str">
        <x:v>E04;E05</x:v>
      </x:c>
      <x:c r="J12" s="17" t="str">
        <x:v>配置核对</x:v>
      </x:c>
      <x:c r="K12" s="17" t="str"/>
    </x:row>
    <x:row r="13" ht="28" customHeight="1">
      <x:c r="A13" s="9" t="str">
        <x:v>weapon_tec9</x:v>
      </x:c>
      <x:c r="B13" s="9" t="str">
        <x:v>Tec-9</x:v>
      </x:c>
      <x:c r="C13" s="9" t="str">
        <x:v>手枪</x:v>
      </x:c>
      <x:c r="D13" s="9" t="str">
        <x:v>T</x:v>
      </x:c>
      <x:c r="E13" s="22" t="n">
        <x:v>500</x:v>
      </x:c>
      <x:c r="F13" s="22" t="n">
        <x:v>300</x:v>
      </x:c>
      <x:c r="G13" s="9" t="str">
        <x:v>对局美元</x:v>
      </x:c>
      <x:c r="H13" s="9" t="str">
        <x:v>标准5v5；需进入该阵营配装或为通用装备</x:v>
      </x:c>
      <x:c r="I13" s="9" t="str">
        <x:v>E04;E05</x:v>
      </x:c>
      <x:c r="J13" s="9" t="str">
        <x:v>配置核对</x:v>
      </x:c>
      <x:c r="K13" s="9" t="str"/>
    </x:row>
    <x:row r="14" ht="28" customHeight="1">
      <x:c r="A14" s="17" t="str">
        <x:v>weapon_cz75a</x:v>
      </x:c>
      <x:c r="B14" s="17" t="str">
        <x:v>CZ75-Auto</x:v>
      </x:c>
      <x:c r="C14" s="17" t="str">
        <x:v>手枪</x:v>
      </x:c>
      <x:c r="D14" s="17" t="str">
        <x:v>T/CT</x:v>
      </x:c>
      <x:c r="E14" s="23" t="n">
        <x:v>500</x:v>
      </x:c>
      <x:c r="F14" s="23" t="n">
        <x:v>300</x:v>
      </x:c>
      <x:c r="G14" s="17" t="str">
        <x:v>对局美元</x:v>
      </x:c>
      <x:c r="H14" s="17" t="str">
        <x:v>标准5v5；需进入该阵营配装或为通用装备</x:v>
      </x:c>
      <x:c r="I14" s="17" t="str">
        <x:v>E04;E05</x:v>
      </x:c>
      <x:c r="J14" s="17" t="str">
        <x:v>配置核对</x:v>
      </x:c>
      <x:c r="K14" s="17" t="str">
        <x:v>击杀奖以2024-04-25更新后数值为准；不能用旧CZ100/XM900/Zeus0。</x:v>
      </x:c>
    </x:row>
    <x:row r="15" ht="28" customHeight="1">
      <x:c r="A15" s="9" t="str">
        <x:v>weapon_deagle</x:v>
      </x:c>
      <x:c r="B15" s="9" t="str">
        <x:v>Desert Eagle</x:v>
      </x:c>
      <x:c r="C15" s="9" t="str">
        <x:v>手枪</x:v>
      </x:c>
      <x:c r="D15" s="9" t="str">
        <x:v>T/CT</x:v>
      </x:c>
      <x:c r="E15" s="22" t="n">
        <x:v>700</x:v>
      </x:c>
      <x:c r="F15" s="22" t="n">
        <x:v>300</x:v>
      </x:c>
      <x:c r="G15" s="9" t="str">
        <x:v>对局美元</x:v>
      </x:c>
      <x:c r="H15" s="9" t="str">
        <x:v>标准5v5；需进入该阵营配装或为通用装备</x:v>
      </x:c>
      <x:c r="I15" s="9" t="str">
        <x:v>E04;E05</x:v>
      </x:c>
      <x:c r="J15" s="9" t="str">
        <x:v>配置核对</x:v>
      </x:c>
      <x:c r="K15" s="9" t="str"/>
    </x:row>
    <x:row r="16" ht="28" customHeight="1">
      <x:c r="A16" s="17" t="str">
        <x:v>weapon_revolver</x:v>
      </x:c>
      <x:c r="B16" s="17" t="str">
        <x:v>R8 Revolver</x:v>
      </x:c>
      <x:c r="C16" s="17" t="str">
        <x:v>手枪</x:v>
      </x:c>
      <x:c r="D16" s="17" t="str">
        <x:v>T/CT</x:v>
      </x:c>
      <x:c r="E16" s="23" t="n">
        <x:v>600</x:v>
      </x:c>
      <x:c r="F16" s="23" t="n">
        <x:v>300</x:v>
      </x:c>
      <x:c r="G16" s="17" t="str">
        <x:v>对局美元</x:v>
      </x:c>
      <x:c r="H16" s="17" t="str">
        <x:v>标准5v5；需进入该阵营配装或为通用装备</x:v>
      </x:c>
      <x:c r="I16" s="17" t="str">
        <x:v>E04;E05</x:v>
      </x:c>
      <x:c r="J16" s="17" t="str">
        <x:v>配置核对</x:v>
      </x:c>
      <x:c r="K16" s="17" t="str"/>
    </x:row>
    <x:row r="17" ht="28" customHeight="1">
      <x:c r="A17" s="9" t="str">
        <x:v>weapon_mac10</x:v>
      </x:c>
      <x:c r="B17" s="9" t="str">
        <x:v>MAC-10</x:v>
      </x:c>
      <x:c r="C17" s="9" t="str">
        <x:v>冲锋枪</x:v>
      </x:c>
      <x:c r="D17" s="9" t="str">
        <x:v>T</x:v>
      </x:c>
      <x:c r="E17" s="22" t="n">
        <x:v>1050</x:v>
      </x:c>
      <x:c r="F17" s="22" t="n">
        <x:v>600</x:v>
      </x:c>
      <x:c r="G17" s="9" t="str">
        <x:v>对局美元</x:v>
      </x:c>
      <x:c r="H17" s="9" t="str">
        <x:v>标准5v5；需进入该阵营配装或为通用装备</x:v>
      </x:c>
      <x:c r="I17" s="9" t="str">
        <x:v>E04;E05</x:v>
      </x:c>
      <x:c r="J17" s="9" t="str">
        <x:v>配置核对</x:v>
      </x:c>
      <x:c r="K17" s="9" t="str"/>
    </x:row>
    <x:row r="18" ht="28" customHeight="1">
      <x:c r="A18" s="17" t="str">
        <x:v>weapon_mp9</x:v>
      </x:c>
      <x:c r="B18" s="17" t="str">
        <x:v>MP9</x:v>
      </x:c>
      <x:c r="C18" s="17" t="str">
        <x:v>冲锋枪</x:v>
      </x:c>
      <x:c r="D18" s="17" t="str">
        <x:v>CT</x:v>
      </x:c>
      <x:c r="E18" s="23" t="n">
        <x:v>1250</x:v>
      </x:c>
      <x:c r="F18" s="23" t="n">
        <x:v>600</x:v>
      </x:c>
      <x:c r="G18" s="17" t="str">
        <x:v>对局美元</x:v>
      </x:c>
      <x:c r="H18" s="17" t="str">
        <x:v>标准5v5；需进入该阵营配装或为通用装备</x:v>
      </x:c>
      <x:c r="I18" s="17" t="str">
        <x:v>E04;E05</x:v>
      </x:c>
      <x:c r="J18" s="17" t="str">
        <x:v>配置核对</x:v>
      </x:c>
      <x:c r="K18" s="17" t="str"/>
    </x:row>
    <x:row r="19" ht="28" customHeight="1">
      <x:c r="A19" s="9" t="str">
        <x:v>weapon_mp7</x:v>
      </x:c>
      <x:c r="B19" s="9" t="str">
        <x:v>MP7</x:v>
      </x:c>
      <x:c r="C19" s="9" t="str">
        <x:v>冲锋枪</x:v>
      </x:c>
      <x:c r="D19" s="9" t="str">
        <x:v>T/CT</x:v>
      </x:c>
      <x:c r="E19" s="22" t="n">
        <x:v>1400</x:v>
      </x:c>
      <x:c r="F19" s="22" t="n">
        <x:v>600</x:v>
      </x:c>
      <x:c r="G19" s="9" t="str">
        <x:v>对局美元</x:v>
      </x:c>
      <x:c r="H19" s="9" t="str">
        <x:v>标准5v5；需进入该阵营配装或为通用装备</x:v>
      </x:c>
      <x:c r="I19" s="9" t="str">
        <x:v>E04;E05</x:v>
      </x:c>
      <x:c r="J19" s="9" t="str">
        <x:v>配置核对</x:v>
      </x:c>
      <x:c r="K19" s="9" t="str">
        <x:v>2026-01-21各降100，现版价格来自固定快照；不使用旧1500/1400价。</x:v>
      </x:c>
    </x:row>
    <x:row r="20" ht="28" customHeight="1">
      <x:c r="A20" s="17" t="str">
        <x:v>weapon_mp5sd</x:v>
      </x:c>
      <x:c r="B20" s="17" t="str">
        <x:v>MP5-SD</x:v>
      </x:c>
      <x:c r="C20" s="17" t="str">
        <x:v>冲锋枪</x:v>
      </x:c>
      <x:c r="D20" s="17" t="str">
        <x:v>T/CT</x:v>
      </x:c>
      <x:c r="E20" s="23" t="n">
        <x:v>1400</x:v>
      </x:c>
      <x:c r="F20" s="23" t="n">
        <x:v>600</x:v>
      </x:c>
      <x:c r="G20" s="17" t="str">
        <x:v>对局美元</x:v>
      </x:c>
      <x:c r="H20" s="17" t="str">
        <x:v>标准5v5；需进入该阵营配装或为通用装备</x:v>
      </x:c>
      <x:c r="I20" s="17" t="str">
        <x:v>E04;E05</x:v>
      </x:c>
      <x:c r="J20" s="17" t="str">
        <x:v>配置核对</x:v>
      </x:c>
      <x:c r="K20" s="17" t="str">
        <x:v>2026-01-21各降100，现版价格来自固定快照；不使用旧1500/1400价。</x:v>
      </x:c>
    </x:row>
    <x:row r="21" ht="28" customHeight="1">
      <x:c r="A21" s="9" t="str">
        <x:v>weapon_ump45</x:v>
      </x:c>
      <x:c r="B21" s="9" t="str">
        <x:v>UMP-45</x:v>
      </x:c>
      <x:c r="C21" s="9" t="str">
        <x:v>冲锋枪</x:v>
      </x:c>
      <x:c r="D21" s="9" t="str">
        <x:v>T/CT</x:v>
      </x:c>
      <x:c r="E21" s="22" t="n">
        <x:v>1200</x:v>
      </x:c>
      <x:c r="F21" s="22" t="n">
        <x:v>600</x:v>
      </x:c>
      <x:c r="G21" s="9" t="str">
        <x:v>对局美元</x:v>
      </x:c>
      <x:c r="H21" s="9" t="str">
        <x:v>标准5v5；需进入该阵营配装或为通用装备</x:v>
      </x:c>
      <x:c r="I21" s="9" t="str">
        <x:v>E04;E05</x:v>
      </x:c>
      <x:c r="J21" s="9" t="str">
        <x:v>配置核对</x:v>
      </x:c>
      <x:c r="K21" s="9" t="str"/>
    </x:row>
    <x:row r="22" ht="28" customHeight="1">
      <x:c r="A22" s="17" t="str">
        <x:v>weapon_bizon</x:v>
      </x:c>
      <x:c r="B22" s="17" t="str">
        <x:v>PP-Bizon</x:v>
      </x:c>
      <x:c r="C22" s="17" t="str">
        <x:v>冲锋枪</x:v>
      </x:c>
      <x:c r="D22" s="17" t="str">
        <x:v>T/CT</x:v>
      </x:c>
      <x:c r="E22" s="23" t="n">
        <x:v>1300</x:v>
      </x:c>
      <x:c r="F22" s="23" t="n">
        <x:v>600</x:v>
      </x:c>
      <x:c r="G22" s="17" t="str">
        <x:v>对局美元</x:v>
      </x:c>
      <x:c r="H22" s="17" t="str">
        <x:v>标准5v5；需进入该阵营配装或为通用装备</x:v>
      </x:c>
      <x:c r="I22" s="17" t="str">
        <x:v>E04;E05</x:v>
      </x:c>
      <x:c r="J22" s="17" t="str">
        <x:v>配置核对</x:v>
      </x:c>
      <x:c r="K22" s="17" t="str">
        <x:v>2026-01-21各降100，现版价格来自固定快照；不使用旧1500/1400价。</x:v>
      </x:c>
    </x:row>
    <x:row r="23" ht="28" customHeight="1">
      <x:c r="A23" s="9" t="str">
        <x:v>weapon_p90</x:v>
      </x:c>
      <x:c r="B23" s="9" t="str">
        <x:v>P90</x:v>
      </x:c>
      <x:c r="C23" s="9" t="str">
        <x:v>冲锋枪</x:v>
      </x:c>
      <x:c r="D23" s="9" t="str">
        <x:v>T/CT</x:v>
      </x:c>
      <x:c r="E23" s="22" t="n">
        <x:v>2350</x:v>
      </x:c>
      <x:c r="F23" s="22" t="n">
        <x:v>300</x:v>
      </x:c>
      <x:c r="G23" s="9" t="str">
        <x:v>对局美元</x:v>
      </x:c>
      <x:c r="H23" s="9" t="str">
        <x:v>标准5v5；需进入该阵营配装或为通用装备</x:v>
      </x:c>
      <x:c r="I23" s="9" t="str">
        <x:v>E04;E05</x:v>
      </x:c>
      <x:c r="J23" s="9" t="str">
        <x:v>配置核对</x:v>
      </x:c>
      <x:c r="K23" s="9" t="str"/>
    </x:row>
    <x:row r="24" ht="28" customHeight="1">
      <x:c r="A24" s="17" t="str">
        <x:v>weapon_nova</x:v>
      </x:c>
      <x:c r="B24" s="17" t="str">
        <x:v>Nova</x:v>
      </x:c>
      <x:c r="C24" s="17" t="str">
        <x:v>霰弹枪</x:v>
      </x:c>
      <x:c r="D24" s="17" t="str">
        <x:v>T/CT</x:v>
      </x:c>
      <x:c r="E24" s="23" t="n">
        <x:v>1050</x:v>
      </x:c>
      <x:c r="F24" s="23" t="n">
        <x:v>900</x:v>
      </x:c>
      <x:c r="G24" s="17" t="str">
        <x:v>对局美元</x:v>
      </x:c>
      <x:c r="H24" s="17" t="str">
        <x:v>标准5v5；需进入该阵营配装或为通用装备</x:v>
      </x:c>
      <x:c r="I24" s="17" t="str">
        <x:v>E04;E05</x:v>
      </x:c>
      <x:c r="J24" s="17" t="str">
        <x:v>配置核对</x:v>
      </x:c>
      <x:c r="K24" s="17" t="str"/>
    </x:row>
    <x:row r="25" ht="28" customHeight="1">
      <x:c r="A25" s="9" t="str">
        <x:v>weapon_xm1014</x:v>
      </x:c>
      <x:c r="B25" s="9" t="str">
        <x:v>XM1014</x:v>
      </x:c>
      <x:c r="C25" s="9" t="str">
        <x:v>霰弹枪</x:v>
      </x:c>
      <x:c r="D25" s="9" t="str">
        <x:v>T/CT</x:v>
      </x:c>
      <x:c r="E25" s="22" t="n">
        <x:v>2000</x:v>
      </x:c>
      <x:c r="F25" s="22" t="n">
        <x:v>600</x:v>
      </x:c>
      <x:c r="G25" s="9" t="str">
        <x:v>对局美元</x:v>
      </x:c>
      <x:c r="H25" s="9" t="str">
        <x:v>标准5v5；需进入该阵营配装或为通用装备</x:v>
      </x:c>
      <x:c r="I25" s="9" t="str">
        <x:v>E04;E05</x:v>
      </x:c>
      <x:c r="J25" s="9" t="str">
        <x:v>配置核对</x:v>
      </x:c>
      <x:c r="K25" s="9" t="str">
        <x:v>击杀奖以2024-04-25更新后数值为准；不能用旧CZ100/XM900/Zeus0。</x:v>
      </x:c>
    </x:row>
    <x:row r="26" ht="28" customHeight="1">
      <x:c r="A26" s="17" t="str">
        <x:v>weapon_sawedoff</x:v>
      </x:c>
      <x:c r="B26" s="17" t="str">
        <x:v>Sawed-Off</x:v>
      </x:c>
      <x:c r="C26" s="17" t="str">
        <x:v>霰弹枪</x:v>
      </x:c>
      <x:c r="D26" s="17" t="str">
        <x:v>T</x:v>
      </x:c>
      <x:c r="E26" s="23" t="n">
        <x:v>1100</x:v>
      </x:c>
      <x:c r="F26" s="23" t="n">
        <x:v>900</x:v>
      </x:c>
      <x:c r="G26" s="17" t="str">
        <x:v>对局美元</x:v>
      </x:c>
      <x:c r="H26" s="17" t="str">
        <x:v>标准5v5；需进入该阵营配装或为通用装备</x:v>
      </x:c>
      <x:c r="I26" s="17" t="str">
        <x:v>E04;E05</x:v>
      </x:c>
      <x:c r="J26" s="17" t="str">
        <x:v>配置核对</x:v>
      </x:c>
      <x:c r="K26" s="17" t="str"/>
    </x:row>
    <x:row r="27" ht="28" customHeight="1">
      <x:c r="A27" s="9" t="str">
        <x:v>weapon_mag7</x:v>
      </x:c>
      <x:c r="B27" s="9" t="str">
        <x:v>MAG-7</x:v>
      </x:c>
      <x:c r="C27" s="9" t="str">
        <x:v>霰弹枪</x:v>
      </x:c>
      <x:c r="D27" s="9" t="str">
        <x:v>CT</x:v>
      </x:c>
      <x:c r="E27" s="22" t="n">
        <x:v>1300</x:v>
      </x:c>
      <x:c r="F27" s="22" t="n">
        <x:v>900</x:v>
      </x:c>
      <x:c r="G27" s="9" t="str">
        <x:v>对局美元</x:v>
      </x:c>
      <x:c r="H27" s="9" t="str">
        <x:v>标准5v5；需进入该阵营配装或为通用装备</x:v>
      </x:c>
      <x:c r="I27" s="9" t="str">
        <x:v>E04;E05</x:v>
      </x:c>
      <x:c r="J27" s="9" t="str">
        <x:v>配置核对</x:v>
      </x:c>
      <x:c r="K27" s="9" t="str"/>
    </x:row>
    <x:row r="28" ht="28" customHeight="1">
      <x:c r="A28" s="17" t="str">
        <x:v>weapon_m249</x:v>
      </x:c>
      <x:c r="B28" s="17" t="str">
        <x:v>M249</x:v>
      </x:c>
      <x:c r="C28" s="17" t="str">
        <x:v>机枪</x:v>
      </x:c>
      <x:c r="D28" s="17" t="str">
        <x:v>T/CT</x:v>
      </x:c>
      <x:c r="E28" s="23" t="n">
        <x:v>5200</x:v>
      </x:c>
      <x:c r="F28" s="23" t="n">
        <x:v>300</x:v>
      </x:c>
      <x:c r="G28" s="17" t="str">
        <x:v>对局美元</x:v>
      </x:c>
      <x:c r="H28" s="17" t="str">
        <x:v>标准5v5；需进入该阵营配装或为通用装备</x:v>
      </x:c>
      <x:c r="I28" s="17" t="str">
        <x:v>E04;E05</x:v>
      </x:c>
      <x:c r="J28" s="17" t="str">
        <x:v>配置核对</x:v>
      </x:c>
      <x:c r="K28" s="17" t="str"/>
    </x:row>
    <x:row r="29" ht="28" customHeight="1">
      <x:c r="A29" s="9" t="str">
        <x:v>weapon_negev</x:v>
      </x:c>
      <x:c r="B29" s="9" t="str">
        <x:v>Negev</x:v>
      </x:c>
      <x:c r="C29" s="9" t="str">
        <x:v>机枪</x:v>
      </x:c>
      <x:c r="D29" s="9" t="str">
        <x:v>T/CT</x:v>
      </x:c>
      <x:c r="E29" s="22" t="n">
        <x:v>1700</x:v>
      </x:c>
      <x:c r="F29" s="22" t="n">
        <x:v>300</x:v>
      </x:c>
      <x:c r="G29" s="9" t="str">
        <x:v>对局美元</x:v>
      </x:c>
      <x:c r="H29" s="9" t="str">
        <x:v>标准5v5；需进入该阵营配装或为通用装备</x:v>
      </x:c>
      <x:c r="I29" s="9" t="str">
        <x:v>E04;E05</x:v>
      </x:c>
      <x:c r="J29" s="9" t="str">
        <x:v>配置核对</x:v>
      </x:c>
      <x:c r="K29" s="9" t="str"/>
    </x:row>
    <x:row r="30" ht="28" customHeight="1">
      <x:c r="A30" s="17" t="str">
        <x:v>weapon_galilar</x:v>
      </x:c>
      <x:c r="B30" s="17" t="str">
        <x:v>Galil AR</x:v>
      </x:c>
      <x:c r="C30" s="17" t="str">
        <x:v>步枪</x:v>
      </x:c>
      <x:c r="D30" s="17" t="str">
        <x:v>T</x:v>
      </x:c>
      <x:c r="E30" s="23" t="n">
        <x:v>1800</x:v>
      </x:c>
      <x:c r="F30" s="23" t="n">
        <x:v>300</x:v>
      </x:c>
      <x:c r="G30" s="17" t="str">
        <x:v>对局美元</x:v>
      </x:c>
      <x:c r="H30" s="17" t="str">
        <x:v>标准5v5；需进入该阵营配装或为通用装备</x:v>
      </x:c>
      <x:c r="I30" s="17" t="str">
        <x:v>E04;E05</x:v>
      </x:c>
      <x:c r="J30" s="17" t="str">
        <x:v>配置核对</x:v>
      </x:c>
      <x:c r="K30" s="17" t="str"/>
    </x:row>
    <x:row r="31" ht="28" customHeight="1">
      <x:c r="A31" s="9" t="str">
        <x:v>weapon_famas</x:v>
      </x:c>
      <x:c r="B31" s="9" t="str">
        <x:v>FAMAS</x:v>
      </x:c>
      <x:c r="C31" s="9" t="str">
        <x:v>步枪</x:v>
      </x:c>
      <x:c r="D31" s="9" t="str">
        <x:v>CT</x:v>
      </x:c>
      <x:c r="E31" s="22" t="n">
        <x:v>1950</x:v>
      </x:c>
      <x:c r="F31" s="22" t="n">
        <x:v>300</x:v>
      </x:c>
      <x:c r="G31" s="9" t="str">
        <x:v>对局美元</x:v>
      </x:c>
      <x:c r="H31" s="9" t="str">
        <x:v>标准5v5；需进入该阵营配装或为通用装备</x:v>
      </x:c>
      <x:c r="I31" s="9" t="str">
        <x:v>E04;E05</x:v>
      </x:c>
      <x:c r="J31" s="9" t="str">
        <x:v>配置核对</x:v>
      </x:c>
      <x:c r="K31" s="9" t="str"/>
    </x:row>
    <x:row r="32" ht="28" customHeight="1">
      <x:c r="A32" s="17" t="str">
        <x:v>weapon_ak47</x:v>
      </x:c>
      <x:c r="B32" s="17" t="str">
        <x:v>AK-47</x:v>
      </x:c>
      <x:c r="C32" s="17" t="str">
        <x:v>步枪</x:v>
      </x:c>
      <x:c r="D32" s="17" t="str">
        <x:v>T</x:v>
      </x:c>
      <x:c r="E32" s="23" t="n">
        <x:v>2700</x:v>
      </x:c>
      <x:c r="F32" s="23" t="n">
        <x:v>300</x:v>
      </x:c>
      <x:c r="G32" s="17" t="str">
        <x:v>对局美元</x:v>
      </x:c>
      <x:c r="H32" s="17" t="str">
        <x:v>标准5v5；需进入该阵营配装或为通用装备</x:v>
      </x:c>
      <x:c r="I32" s="17" t="str">
        <x:v>E04;E05</x:v>
      </x:c>
      <x:c r="J32" s="17" t="str">
        <x:v>配置核对</x:v>
      </x:c>
      <x:c r="K32" s="17" t="str"/>
    </x:row>
    <x:row r="33" ht="28" customHeight="1">
      <x:c r="A33" s="9" t="str">
        <x:v>weapon_m4a1</x:v>
      </x:c>
      <x:c r="B33" s="9" t="str">
        <x:v>M4A4</x:v>
      </x:c>
      <x:c r="C33" s="9" t="str">
        <x:v>步枪</x:v>
      </x:c>
      <x:c r="D33" s="9" t="str">
        <x:v>CT</x:v>
      </x:c>
      <x:c r="E33" s="22" t="n">
        <x:v>2900</x:v>
      </x:c>
      <x:c r="F33" s="22" t="n">
        <x:v>300</x:v>
      </x:c>
      <x:c r="G33" s="9" t="str">
        <x:v>对局美元</x:v>
      </x:c>
      <x:c r="H33" s="9" t="str">
        <x:v>标准5v5；需进入该阵营配装或为通用装备</x:v>
      </x:c>
      <x:c r="I33" s="9" t="str">
        <x:v>E04;E05</x:v>
      </x:c>
      <x:c r="J33" s="9" t="str">
        <x:v>配置核对</x:v>
      </x:c>
      <x:c r="K33" s="9" t="str">
        <x:v>内部ID weapon_m4a1 对应M4A4；2025-01-28降至2900。</x:v>
      </x:c>
    </x:row>
    <x:row r="34" ht="28" customHeight="1">
      <x:c r="A34" s="17" t="str">
        <x:v>weapon_m4a1_silencer</x:v>
      </x:c>
      <x:c r="B34" s="17" t="str">
        <x:v>M4A1-S</x:v>
      </x:c>
      <x:c r="C34" s="17" t="str">
        <x:v>步枪</x:v>
      </x:c>
      <x:c r="D34" s="17" t="str">
        <x:v>CT</x:v>
      </x:c>
      <x:c r="E34" s="23" t="n">
        <x:v>2900</x:v>
      </x:c>
      <x:c r="F34" s="23" t="n">
        <x:v>300</x:v>
      </x:c>
      <x:c r="G34" s="17" t="str">
        <x:v>对局美元</x:v>
      </x:c>
      <x:c r="H34" s="17" t="str">
        <x:v>标准5v5；需进入该阵营配装或为通用装备</x:v>
      </x:c>
      <x:c r="I34" s="17" t="str">
        <x:v>E04;E05</x:v>
      </x:c>
      <x:c r="J34" s="17" t="str">
        <x:v>配置核对</x:v>
      </x:c>
      <x:c r="K34" s="17" t="str">
        <x:v>独立配置槽；与M4A4可同时纳入CT配装。</x:v>
      </x:c>
    </x:row>
    <x:row r="35" ht="28" customHeight="1">
      <x:c r="A35" s="9" t="str">
        <x:v>weapon_aug</x:v>
      </x:c>
      <x:c r="B35" s="9" t="str">
        <x:v>AUG</x:v>
      </x:c>
      <x:c r="C35" s="9" t="str">
        <x:v>步枪</x:v>
      </x:c>
      <x:c r="D35" s="9" t="str">
        <x:v>CT</x:v>
      </x:c>
      <x:c r="E35" s="22" t="n">
        <x:v>3300</x:v>
      </x:c>
      <x:c r="F35" s="22" t="n">
        <x:v>300</x:v>
      </x:c>
      <x:c r="G35" s="9" t="str">
        <x:v>对局美元</x:v>
      </x:c>
      <x:c r="H35" s="9" t="str">
        <x:v>标准5v5；需进入该阵营配装或为通用装备</x:v>
      </x:c>
      <x:c r="I35" s="9" t="str">
        <x:v>E04;E05</x:v>
      </x:c>
      <x:c r="J35" s="9" t="str">
        <x:v>配置核对</x:v>
      </x:c>
      <x:c r="K35" s="9" t="str"/>
    </x:row>
    <x:row r="36" ht="28" customHeight="1">
      <x:c r="A36" s="17" t="str">
        <x:v>weapon_sg556</x:v>
      </x:c>
      <x:c r="B36" s="17" t="str">
        <x:v>SG 553</x:v>
      </x:c>
      <x:c r="C36" s="17" t="str">
        <x:v>步枪</x:v>
      </x:c>
      <x:c r="D36" s="17" t="str">
        <x:v>T</x:v>
      </x:c>
      <x:c r="E36" s="23" t="n">
        <x:v>3000</x:v>
      </x:c>
      <x:c r="F36" s="23" t="n">
        <x:v>300</x:v>
      </x:c>
      <x:c r="G36" s="17" t="str">
        <x:v>对局美元</x:v>
      </x:c>
      <x:c r="H36" s="17" t="str">
        <x:v>标准5v5；需进入该阵营配装或为通用装备</x:v>
      </x:c>
      <x:c r="I36" s="17" t="str">
        <x:v>E04;E05</x:v>
      </x:c>
      <x:c r="J36" s="17" t="str">
        <x:v>配置核对</x:v>
      </x:c>
      <x:c r="K36" s="17" t="str"/>
    </x:row>
    <x:row r="37" ht="28" customHeight="1">
      <x:c r="A37" s="9" t="str">
        <x:v>weapon_ssg08</x:v>
      </x:c>
      <x:c r="B37" s="9" t="str">
        <x:v>SSG 08</x:v>
      </x:c>
      <x:c r="C37" s="9" t="str">
        <x:v>狙击枪</x:v>
      </x:c>
      <x:c r="D37" s="9" t="str">
        <x:v>T/CT</x:v>
      </x:c>
      <x:c r="E37" s="22" t="n">
        <x:v>1700</x:v>
      </x:c>
      <x:c r="F37" s="22" t="n">
        <x:v>300</x:v>
      </x:c>
      <x:c r="G37" s="9" t="str">
        <x:v>对局美元</x:v>
      </x:c>
      <x:c r="H37" s="9" t="str">
        <x:v>标准5v5；需进入该阵营配装或为通用装备</x:v>
      </x:c>
      <x:c r="I37" s="9" t="str">
        <x:v>E04;E05</x:v>
      </x:c>
      <x:c r="J37" s="9" t="str">
        <x:v>配置核对</x:v>
      </x:c>
      <x:c r="K37" s="9" t="str"/>
    </x:row>
    <x:row r="38" ht="28" customHeight="1">
      <x:c r="A38" s="17" t="str">
        <x:v>weapon_awp</x:v>
      </x:c>
      <x:c r="B38" s="17" t="str">
        <x:v>AWP</x:v>
      </x:c>
      <x:c r="C38" s="17" t="str">
        <x:v>狙击枪</x:v>
      </x:c>
      <x:c r="D38" s="17" t="str">
        <x:v>T/CT</x:v>
      </x:c>
      <x:c r="E38" s="23" t="n">
        <x:v>4750</x:v>
      </x:c>
      <x:c r="F38" s="23" t="n">
        <x:v>100</x:v>
      </x:c>
      <x:c r="G38" s="17" t="str">
        <x:v>对局美元</x:v>
      </x:c>
      <x:c r="H38" s="17" t="str">
        <x:v>标准5v5；需进入该阵营配装或为通用装备</x:v>
      </x:c>
      <x:c r="I38" s="17" t="str">
        <x:v>E04;E05</x:v>
      </x:c>
      <x:c r="J38" s="17" t="str">
        <x:v>配置核对</x:v>
      </x:c>
      <x:c r="K38" s="17" t="str"/>
    </x:row>
    <x:row r="39" ht="28" customHeight="1">
      <x:c r="A39" s="9" t="str">
        <x:v>weapon_g3sg1</x:v>
      </x:c>
      <x:c r="B39" s="9" t="str">
        <x:v>G3SG1</x:v>
      </x:c>
      <x:c r="C39" s="9" t="str">
        <x:v>狙击枪</x:v>
      </x:c>
      <x:c r="D39" s="9" t="str">
        <x:v>T</x:v>
      </x:c>
      <x:c r="E39" s="22" t="n">
        <x:v>5000</x:v>
      </x:c>
      <x:c r="F39" s="22" t="n">
        <x:v>300</x:v>
      </x:c>
      <x:c r="G39" s="9" t="str">
        <x:v>对局美元</x:v>
      </x:c>
      <x:c r="H39" s="9" t="str">
        <x:v>标准5v5；需进入该阵营配装或为通用装备</x:v>
      </x:c>
      <x:c r="I39" s="9" t="str">
        <x:v>E04;E05</x:v>
      </x:c>
      <x:c r="J39" s="9" t="str">
        <x:v>配置核对</x:v>
      </x:c>
      <x:c r="K39" s="9" t="str"/>
    </x:row>
    <x:row r="40" ht="28" customHeight="1">
      <x:c r="A40" s="17" t="str">
        <x:v>weapon_scar20</x:v>
      </x:c>
      <x:c r="B40" s="17" t="str">
        <x:v>SCAR-20</x:v>
      </x:c>
      <x:c r="C40" s="17" t="str">
        <x:v>狙击枪</x:v>
      </x:c>
      <x:c r="D40" s="17" t="str">
        <x:v>CT</x:v>
      </x:c>
      <x:c r="E40" s="23" t="n">
        <x:v>5000</x:v>
      </x:c>
      <x:c r="F40" s="23" t="n">
        <x:v>300</x:v>
      </x:c>
      <x:c r="G40" s="17" t="str">
        <x:v>对局美元</x:v>
      </x:c>
      <x:c r="H40" s="17" t="str">
        <x:v>标准5v5；需进入该阵营配装或为通用装备</x:v>
      </x:c>
      <x:c r="I40" s="17" t="str">
        <x:v>E04;E05</x:v>
      </x:c>
      <x:c r="J40" s="17" t="str">
        <x:v>配置核对</x:v>
      </x:c>
      <x:c r="K40" s="17" t="str"/>
    </x:row>
    <x:row r="41" ht="28" customHeight="1">
      <x:c r="A41" s="9" t="str">
        <x:v>weapon_knife</x:v>
      </x:c>
      <x:c r="B41" s="9" t="str">
        <x:v>Knife</x:v>
      </x:c>
      <x:c r="C41" s="9" t="str">
        <x:v>近战</x:v>
      </x:c>
      <x:c r="D41" s="9" t="str">
        <x:v>T/CT</x:v>
      </x:c>
      <x:c r="E41" s="22" t="n">
        <x:v>0</x:v>
      </x:c>
      <x:c r="F41" s="22" t="n">
        <x:v>1500</x:v>
      </x:c>
      <x:c r="G41" s="9" t="str">
        <x:v>对局美元</x:v>
      </x:c>
      <x:c r="H41" s="9" t="str">
        <x:v>标准5v5；需进入该阵营配装或为通用装备</x:v>
      </x:c>
      <x:c r="I41" s="9" t="str">
        <x:v>E04;E05</x:v>
      </x:c>
      <x:c r="J41" s="9" t="str">
        <x:v>配置核对</x:v>
      </x:c>
      <x:c r="K41" s="9" t="str">
        <x:v>默认免费近战，不可按零价反复购买或交易；敌方持有物的拾取权限另判。</x:v>
      </x:c>
    </x:row>
    <x:row r="42" ht="28" customHeight="1">
      <x:c r="A42" s="17" t="str">
        <x:v>weapon_taser</x:v>
      </x:c>
      <x:c r="B42" s="17" t="str">
        <x:v>Zeus x27</x:v>
      </x:c>
      <x:c r="C42" s="17" t="str">
        <x:v>电击器</x:v>
      </x:c>
      <x:c r="D42" s="17" t="str">
        <x:v>T/CT</x:v>
      </x:c>
      <x:c r="E42" s="23" t="n">
        <x:v>200</x:v>
      </x:c>
      <x:c r="F42" s="23" t="n">
        <x:v>100</x:v>
      </x:c>
      <x:c r="G42" s="17" t="str">
        <x:v>对局美元</x:v>
      </x:c>
      <x:c r="H42" s="17" t="str">
        <x:v>标准5v5；需进入该阵营配装或为通用装备</x:v>
      </x:c>
      <x:c r="I42" s="17" t="str">
        <x:v>E04;E05</x:v>
      </x:c>
      <x:c r="J42" s="17" t="str">
        <x:v>配置核对</x:v>
      </x:c>
      <x:c r="K42" s="17" t="str">
        <x:v>击杀奖以2024-04-25更新后数值为准；不能用旧CZ100/XM900/Zeus0。</x:v>
      </x:c>
    </x:row>
    <x:row r="43" ht="38" customHeight="1">
      <x:c r="A43" s="9" t="str">
        <x:v>weapon_flashbang</x:v>
      </x:c>
      <x:c r="B43" s="9" t="str">
        <x:v>Flashbang</x:v>
      </x:c>
      <x:c r="C43" s="9" t="str">
        <x:v>投掷物</x:v>
      </x:c>
      <x:c r="D43" s="9" t="str">
        <x:v>T/CT</x:v>
      </x:c>
      <x:c r="E43" s="22" t="n">
        <x:v>200</x:v>
      </x:c>
      <x:c r="F43" s="22" t="n">
        <x:v>300</x:v>
      </x:c>
      <x:c r="G43" s="9" t="str">
        <x:v>对局美元</x:v>
      </x:c>
      <x:c r="H43" s="9" t="str">
        <x:v>标准5v5；需进入该阵营配装或为通用装备</x:v>
      </x:c>
      <x:c r="I43" s="9" t="str">
        <x:v>E04;E05</x:v>
      </x:c>
      <x:c r="J43" s="9" t="str">
        <x:v>配置核对</x:v>
      </x:c>
      <x:c r="K43" s="9" t="str">
        <x:v>300为武器数据中的击杀奖励；只有服务器将击杀归属该物品时才适用。道具未造成击杀不自动送钱。</x:v>
      </x:c>
    </x:row>
    <x:row r="44" ht="38" customHeight="1">
      <x:c r="A44" s="17" t="str">
        <x:v>weapon_smokegrenade</x:v>
      </x:c>
      <x:c r="B44" s="17" t="str">
        <x:v>Smoke Grenade</x:v>
      </x:c>
      <x:c r="C44" s="17" t="str">
        <x:v>投掷物</x:v>
      </x:c>
      <x:c r="D44" s="17" t="str">
        <x:v>T/CT</x:v>
      </x:c>
      <x:c r="E44" s="23" t="n">
        <x:v>300</x:v>
      </x:c>
      <x:c r="F44" s="23" t="n">
        <x:v>300</x:v>
      </x:c>
      <x:c r="G44" s="17" t="str">
        <x:v>对局美元</x:v>
      </x:c>
      <x:c r="H44" s="17" t="str">
        <x:v>标准5v5；需进入该阵营配装或为通用装备</x:v>
      </x:c>
      <x:c r="I44" s="17" t="str">
        <x:v>E04;E05</x:v>
      </x:c>
      <x:c r="J44" s="17" t="str">
        <x:v>配置核对</x:v>
      </x:c>
      <x:c r="K44" s="17" t="str">
        <x:v>300为武器数据中的击杀奖励；只有服务器将击杀归属该物品时才适用。道具未造成击杀不自动送钱。</x:v>
      </x:c>
    </x:row>
    <x:row r="45" ht="38" customHeight="1">
      <x:c r="A45" s="9" t="str">
        <x:v>weapon_hegrenade</x:v>
      </x:c>
      <x:c r="B45" s="9" t="str">
        <x:v>HE Grenade</x:v>
      </x:c>
      <x:c r="C45" s="9" t="str">
        <x:v>投掷物</x:v>
      </x:c>
      <x:c r="D45" s="9" t="str">
        <x:v>T/CT</x:v>
      </x:c>
      <x:c r="E45" s="22" t="n">
        <x:v>300</x:v>
      </x:c>
      <x:c r="F45" s="22" t="n">
        <x:v>300</x:v>
      </x:c>
      <x:c r="G45" s="9" t="str">
        <x:v>对局美元</x:v>
      </x:c>
      <x:c r="H45" s="9" t="str">
        <x:v>标准5v5；需进入该阵营配装或为通用装备</x:v>
      </x:c>
      <x:c r="I45" s="9" t="str">
        <x:v>E04;E05</x:v>
      </x:c>
      <x:c r="J45" s="9" t="str">
        <x:v>配置核对</x:v>
      </x:c>
      <x:c r="K45" s="9" t="str">
        <x:v>300为武器数据中的击杀奖励；只有服务器将击杀归属该物品时才适用。道具未造成击杀不自动送钱。</x:v>
      </x:c>
    </x:row>
    <x:row r="46" ht="38" customHeight="1">
      <x:c r="A46" s="17" t="str">
        <x:v>weapon_molotov</x:v>
      </x:c>
      <x:c r="B46" s="17" t="str">
        <x:v>Molotov</x:v>
      </x:c>
      <x:c r="C46" s="17" t="str">
        <x:v>投掷物</x:v>
      </x:c>
      <x:c r="D46" s="17" t="str">
        <x:v>T</x:v>
      </x:c>
      <x:c r="E46" s="23" t="n">
        <x:v>400</x:v>
      </x:c>
      <x:c r="F46" s="23" t="n">
        <x:v>300</x:v>
      </x:c>
      <x:c r="G46" s="17" t="str">
        <x:v>对局美元</x:v>
      </x:c>
      <x:c r="H46" s="17" t="str">
        <x:v>标准5v5；需进入该阵营配装或为通用装备</x:v>
      </x:c>
      <x:c r="I46" s="17" t="str">
        <x:v>E04;E05</x:v>
      </x:c>
      <x:c r="J46" s="17" t="str">
        <x:v>配置核对</x:v>
      </x:c>
      <x:c r="K46" s="17" t="str">
        <x:v>300为武器数据中的击杀奖励；只有服务器将击杀归属该物品时才适用。道具未造成击杀不自动送钱。</x:v>
      </x:c>
    </x:row>
    <x:row r="47" ht="38" customHeight="1">
      <x:c r="A47" s="9" t="str">
        <x:v>weapon_incgrenade</x:v>
      </x:c>
      <x:c r="B47" s="9" t="str">
        <x:v>Incendiary Grenade</x:v>
      </x:c>
      <x:c r="C47" s="9" t="str">
        <x:v>投掷物</x:v>
      </x:c>
      <x:c r="D47" s="9" t="str">
        <x:v>CT</x:v>
      </x:c>
      <x:c r="E47" s="22" t="n">
        <x:v>500</x:v>
      </x:c>
      <x:c r="F47" s="22" t="n">
        <x:v>300</x:v>
      </x:c>
      <x:c r="G47" s="9" t="str">
        <x:v>对局美元</x:v>
      </x:c>
      <x:c r="H47" s="9" t="str">
        <x:v>标准5v5；需进入该阵营配装或为通用装备</x:v>
      </x:c>
      <x:c r="I47" s="9" t="str">
        <x:v>E04;E05</x:v>
      </x:c>
      <x:c r="J47" s="9" t="str">
        <x:v>配置核对</x:v>
      </x:c>
      <x:c r="K47" s="9" t="str">
        <x:v>300为武器数据中的击杀奖励；只有服务器将击杀归属该物品时才适用。道具未造成击杀不自动送钱。</x:v>
      </x:c>
    </x:row>
    <x:row r="48" ht="38" customHeight="1">
      <x:c r="A48" s="17" t="str">
        <x:v>weapon_decoy</x:v>
      </x:c>
      <x:c r="B48" s="17" t="str">
        <x:v>Decoy Grenade</x:v>
      </x:c>
      <x:c r="C48" s="17" t="str">
        <x:v>投掷物</x:v>
      </x:c>
      <x:c r="D48" s="17" t="str">
        <x:v>T/CT</x:v>
      </x:c>
      <x:c r="E48" s="23" t="n">
        <x:v>50</x:v>
      </x:c>
      <x:c r="F48" s="23" t="n">
        <x:v>300</x:v>
      </x:c>
      <x:c r="G48" s="17" t="str">
        <x:v>对局美元</x:v>
      </x:c>
      <x:c r="H48" s="17" t="str">
        <x:v>标准5v5；需进入该阵营配装或为通用装备</x:v>
      </x:c>
      <x:c r="I48" s="17" t="str">
        <x:v>E04;E05</x:v>
      </x:c>
      <x:c r="J48" s="17" t="str">
        <x:v>配置核对</x:v>
      </x:c>
      <x:c r="K48" s="17" t="str">
        <x:v>300为武器数据中的击杀奖励；只有服务器将击杀归属该物品时才适用。道具未造成击杀不自动送钱。</x:v>
      </x:c>
    </x:row>
    <x:row r="49" ht="28" customHeight="1">
      <x:c r="A49" s="9" t="str">
        <x:v>item_kevlar</x:v>
      </x:c>
      <x:c r="B49" s="9" t="str">
        <x:v>Kevlar Vest</x:v>
      </x:c>
      <x:c r="C49" s="9" t="str">
        <x:v>防具</x:v>
      </x:c>
      <x:c r="D49" s="9" t="str">
        <x:v>T/CT</x:v>
      </x:c>
      <x:c r="E49" s="22" t="n">
        <x:v>650</x:v>
      </x:c>
      <x:c r="F49" s="22" t="str">
        <x:v>未定义</x:v>
      </x:c>
      <x:c r="G49" s="9" t="str">
        <x:v>对局美元</x:v>
      </x:c>
      <x:c r="H49" s="9" t="str">
        <x:v>标准5v5；满状态重复购买需拒绝</x:v>
      </x:c>
      <x:c r="I49" s="9" t="str">
        <x:v>E04;E05</x:v>
      </x:c>
      <x:c r="J49" s="9" t="str">
        <x:v>配置核对</x:v>
      </x:c>
      <x:c r="K49" s="9" t="str">
        <x:v>价格是从无该装备状态购买的标价；已有护甲/头盔的差额购买需按独立条件判断。</x:v>
      </x:c>
    </x:row>
    <x:row r="50" ht="28" customHeight="1">
      <x:c r="A50" s="17" t="str">
        <x:v>item_assaultsuit</x:v>
      </x:c>
      <x:c r="B50" s="17" t="str">
        <x:v>Kevlar &amp; Helmet</x:v>
      </x:c>
      <x:c r="C50" s="17" t="str">
        <x:v>防具</x:v>
      </x:c>
      <x:c r="D50" s="17" t="str">
        <x:v>T/CT</x:v>
      </x:c>
      <x:c r="E50" s="23" t="n">
        <x:v>1000</x:v>
      </x:c>
      <x:c r="F50" s="23" t="str">
        <x:v>未定义</x:v>
      </x:c>
      <x:c r="G50" s="17" t="str">
        <x:v>对局美元</x:v>
      </x:c>
      <x:c r="H50" s="17" t="str">
        <x:v>标准5v5；满状态重复购买需拒绝</x:v>
      </x:c>
      <x:c r="I50" s="17" t="str">
        <x:v>E04;E05</x:v>
      </x:c>
      <x:c r="J50" s="17" t="str">
        <x:v>配置核对</x:v>
      </x:c>
      <x:c r="K50" s="17" t="str">
        <x:v>价格是从无该装备状态购买的标价；已有护甲/头盔的差额购买需按独立条件判断。</x:v>
      </x:c>
    </x:row>
    <x:row r="51" ht="28" customHeight="1">
      <x:c r="A51" s="9" t="str">
        <x:v>item_defuser</x:v>
      </x:c>
      <x:c r="B51" s="9" t="str">
        <x:v>Defuse Kit</x:v>
      </x:c>
      <x:c r="C51" s="9" t="str">
        <x:v>功能装备</x:v>
      </x:c>
      <x:c r="D51" s="9" t="str">
        <x:v>CT</x:v>
      </x:c>
      <x:c r="E51" s="22" t="n">
        <x:v>400</x:v>
      </x:c>
      <x:c r="F51" s="22" t="str">
        <x:v>未定义</x:v>
      </x:c>
      <x:c r="G51" s="9" t="str">
        <x:v>对局美元</x:v>
      </x:c>
      <x:c r="H51" s="9" t="str">
        <x:v>标准5v5；满状态重复购买需拒绝</x:v>
      </x:c>
      <x:c r="I51" s="9" t="str">
        <x:v>E04;E05</x:v>
      </x:c>
      <x:c r="J51" s="9" t="str">
        <x:v>配置核对</x:v>
      </x:c>
      <x:c r="K51" s="9" t="str">
        <x:v>死亡可掉落；可拾取。并非把现金直接转给队友。</x:v>
      </x:c>
    </x:row>
  </x:sheetData>
  <x:pageMargins left="0.7" right="0.7" top="0.75" bottom="0.75" header="0.3" footer="0.3"/>
  <x:tableParts count="1">
    <x:tablePart xmlns:r="http://schemas.openxmlformats.org/officeDocument/2006/relationships" r:id="R64694622410940e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35" hidden="0" customWidth="1"/>
    <x:col min="3" max="3" width="34" hidden="0" customWidth="1"/>
    <x:col min="4" max="4" width="18" hidden="0" customWidth="1"/>
    <x:col min="5" max="5" width="25" hidden="0" customWidth="1"/>
    <x:col min="6" max="6" width="75" hidden="0" customWidth="1"/>
    <x:col min="7" max="7" width="22" hidden="0" customWidth="1"/>
    <x:col min="8" max="8" width="3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模式与经济参数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/>
      <x:c r="B3" s="3"/>
      <x:c r="C3" s="3"/>
      <x:c r="D3" s="3"/>
      <x:c r="E3" s="3"/>
      <x:c r="F3" s="3"/>
      <x:c r="G3" s="3"/>
      <x:c r="H3" s="3"/>
    </x:row>
    <x:row r="4" ht="23" customHeight="1">
      <x:c r="A4" s="19" t="str">
        <x:v>数据核查日2026-10-16。比赛/练习服可覆盖ConVar；本表不是所有服务器的强制规范。</x:v>
      </x:c>
      <x:c r="B4" s="1"/>
      <x:c r="C4" s="1"/>
      <x:c r="D4" s="1"/>
      <x:c r="E4" s="1"/>
      <x:c r="F4" s="1"/>
      <x:c r="G4" s="1"/>
      <x:c r="H4" s="1"/>
    </x:row>
    <x:row r="5" ht="23" customHeight="1">
      <x:c r="A5" s="1"/>
      <x:c r="B5" s="1"/>
      <x:c r="C5" s="1"/>
      <x:c r="D5" s="1"/>
      <x:c r="E5" s="1"/>
      <x:c r="F5" s="1"/>
      <x:c r="G5" s="1"/>
      <x:c r="H5" s="1"/>
    </x:row>
    <x:row r="6" ht="34" customHeight="1">
      <x:c r="A6" s="14" t="str">
        <x:v>参数ID</x:v>
      </x:c>
      <x:c r="B6" s="15" t="str">
        <x:v>适用模式</x:v>
      </x:c>
      <x:c r="C6" s="15" t="str">
        <x:v>参数名</x:v>
      </x:c>
      <x:c r="D6" s="15" t="str">
        <x:v>值</x:v>
      </x:c>
      <x:c r="E6" s="15" t="str">
        <x:v>单位</x:v>
      </x:c>
      <x:c r="F6" s="15" t="str">
        <x:v>规则解释</x:v>
      </x:c>
      <x:c r="G6" s="15" t="str">
        <x:v>来源ID</x:v>
      </x:c>
      <x:c r="H6" s="16" t="str">
        <x:v>证据状态</x:v>
      </x:c>
    </x:row>
    <x:row r="7" ht="28" customHeight="1">
      <x:c r="A7" s="9" t="str">
        <x:v>P01</x:v>
      </x:c>
      <x:c r="B7" s="9" t="str">
        <x:v>普通竞技／Premier常规</x:v>
      </x:c>
      <x:c r="C7" s="9" t="str">
        <x:v>每队人数</x:v>
      </x:c>
      <x:c r="D7" s="22" t="n">
        <x:v>5</x:v>
      </x:c>
      <x:c r="E7" s="9" t="str">
        <x:v>人</x:v>
      </x:c>
      <x:c r="F7" s="9" t="str">
        <x:v>5v5；不包含搭档、休闲、回防、Rush</x:v>
      </x:c>
      <x:c r="G7" s="9" t="str">
        <x:v>E01</x:v>
      </x:c>
      <x:c r="H7" s="9" t="str">
        <x:v>配置核对</x:v>
      </x:c>
    </x:row>
    <x:row r="8" ht="28" customHeight="1">
      <x:c r="A8" s="17" t="str">
        <x:v>P02</x:v>
      </x:c>
      <x:c r="B8" s="17" t="str">
        <x:v>普通竞技／Premier常规</x:v>
      </x:c>
      <x:c r="C8" s="17" t="str">
        <x:v>常规最多回合</x:v>
      </x:c>
      <x:c r="D8" s="23" t="n">
        <x:v>24</x:v>
      </x:c>
      <x:c r="E8" s="17" t="str">
        <x:v>回合</x:v>
      </x:c>
      <x:c r="F8" s="17" t="str">
        <x:v>每半场12；先获13回合可提前结束</x:v>
      </x:c>
      <x:c r="G8" s="17" t="str">
        <x:v>E01</x:v>
      </x:c>
      <x:c r="H8" s="17" t="str">
        <x:v>配置核对</x:v>
      </x:c>
    </x:row>
    <x:row r="9" ht="28" customHeight="1">
      <x:c r="A9" s="9" t="str">
        <x:v>P03</x:v>
      </x:c>
      <x:c r="B9" s="9" t="str">
        <x:v>普通竞技／Premier常规</x:v>
      </x:c>
      <x:c r="C9" s="9" t="str">
        <x:v>半场初始现金</x:v>
      </x:c>
      <x:c r="D9" s="22" t="n">
        <x:v>800</x:v>
      </x:c>
      <x:c r="E9" s="9" t="str">
        <x:v>对局美元/人</x:v>
      </x:c>
      <x:c r="F9" s="9" t="str">
        <x:v>换边进入新半场重置；不把上半场余额带入</x:v>
      </x:c>
      <x:c r="G9" s="9" t="str">
        <x:v>E01</x:v>
      </x:c>
      <x:c r="H9" s="9" t="str">
        <x:v>配置核对</x:v>
      </x:c>
    </x:row>
    <x:row r="10" ht="28" customHeight="1">
      <x:c r="A10" s="17" t="str">
        <x:v>P04</x:v>
      </x:c>
      <x:c r="B10" s="17" t="str">
        <x:v>普通竞技／Premier常规</x:v>
      </x:c>
      <x:c r="C10" s="17" t="str">
        <x:v>现金上限</x:v>
      </x:c>
      <x:c r="D10" s="23" t="n">
        <x:v>16000</x:v>
      </x:c>
      <x:c r="E10" s="17" t="str">
        <x:v>对局美元/人</x:v>
      </x:c>
      <x:c r="F10" s="17" t="str">
        <x:v>逐笔入账受上限约束；不是团队共享现金池</x:v>
      </x:c>
      <x:c r="G10" s="17" t="str">
        <x:v>E01</x:v>
      </x:c>
      <x:c r="H10" s="17" t="str">
        <x:v>配置核对</x:v>
      </x:c>
    </x:row>
    <x:row r="11" ht="28" customHeight="1">
      <x:c r="A11" s="9" t="str">
        <x:v>P05</x:v>
      </x:c>
      <x:c r="B11" s="9" t="str">
        <x:v>普通竞技／Premier常规</x:v>
      </x:c>
      <x:c r="C11" s="9" t="str">
        <x:v>败局基础奖励</x:v>
      </x:c>
      <x:c r="D11" s="22" t="n">
        <x:v>1400</x:v>
      </x:c>
      <x:c r="E11" s="9" t="str">
        <x:v>对局美元/人</x:v>
      </x:c>
      <x:c r="F11" s="9" t="str">
        <x:v>与败局档位配合；不要把手枪首败写成1400</x:v>
      </x:c>
      <x:c r="G11" s="9" t="str">
        <x:v>E01</x:v>
      </x:c>
      <x:c r="H11" s="9" t="str">
        <x:v>配置核对</x:v>
      </x:c>
    </x:row>
    <x:row r="12" ht="28" customHeight="1">
      <x:c r="A12" s="17" t="str">
        <x:v>P06</x:v>
      </x:c>
      <x:c r="B12" s="17" t="str">
        <x:v>普通竞技／Premier常规</x:v>
      </x:c>
      <x:c r="C12" s="17" t="str">
        <x:v>败局档位增量</x:v>
      </x:c>
      <x:c r="D12" s="23" t="n">
        <x:v>500</x:v>
      </x:c>
      <x:c r="E12" s="17" t="str">
        <x:v>对局美元/档</x:v>
      </x:c>
      <x:c r="F12" s="17" t="str">
        <x:v>0—4档，对应1400/1900/2400/2900/3400</x:v>
      </x:c>
      <x:c r="G12" s="17" t="str">
        <x:v>E01;E03</x:v>
      </x:c>
      <x:c r="H12" s="17" t="str">
        <x:v>配置核对</x:v>
      </x:c>
    </x:row>
    <x:row r="13" ht="28" customHeight="1">
      <x:c r="A13" s="9" t="str">
        <x:v>P07</x:v>
      </x:c>
      <x:c r="B13" s="9" t="str">
        <x:v>普通竞技／Premier常规</x:v>
      </x:c>
      <x:c r="C13" s="9" t="str">
        <x:v>半场初始败局档位</x:v>
      </x:c>
      <x:c r="D13" s="22" t="n">
        <x:v>1</x:v>
      </x:c>
      <x:c r="E13" s="9" t="str">
        <x:v>档</x:v>
      </x:c>
      <x:c r="F13" s="9" t="str">
        <x:v>首回合若败，按该回合进入时档位发1900</x:v>
      </x:c>
      <x:c r="G13" s="9" t="str">
        <x:v>E01</x:v>
      </x:c>
      <x:c r="H13" s="9" t="str">
        <x:v>配置核对</x:v>
      </x:c>
    </x:row>
    <x:row r="14" ht="28" customHeight="1">
      <x:c r="A14" s="17" t="str">
        <x:v>P08</x:v>
      </x:c>
      <x:c r="B14" s="17" t="str">
        <x:v>普通竞技／Premier常规</x:v>
      </x:c>
      <x:c r="C14" s="17" t="str">
        <x:v>败局档位上限</x:v>
      </x:c>
      <x:c r="D14" s="23" t="n">
        <x:v>4</x:v>
      </x:c>
      <x:c r="E14" s="17" t="str">
        <x:v>档</x:v>
      </x:c>
      <x:c r="F14" s="17" t="str">
        <x:v>败后+1，胜后-1，下限0；支付使用回合前档位</x:v>
      </x:c>
      <x:c r="G14" s="17" t="str">
        <x:v>E03</x:v>
      </x:c>
      <x:c r="H14" s="17" t="str">
        <x:v>配置与解释模型</x:v>
      </x:c>
    </x:row>
    <x:row r="15" ht="28" customHeight="1">
      <x:c r="A15" s="9" t="str">
        <x:v>P09</x:v>
      </x:c>
      <x:c r="B15" s="9" t="str">
        <x:v>普通竞技／Premier常规</x:v>
      </x:c>
      <x:c r="C15" s="9" t="str">
        <x:v>购买时长</x:v>
      </x:c>
      <x:c r="D15" s="22" t="n">
        <x:v>20</x:v>
      </x:c>
      <x:c r="E15" s="9" t="str">
        <x:v>秒</x:v>
      </x:c>
      <x:c r="F15" s="9" t="str">
        <x:v>需在合法购买区；冻结阶段与购买计时不可直接相加套算</x:v>
      </x:c>
      <x:c r="G15" s="9" t="str">
        <x:v>E01</x:v>
      </x:c>
      <x:c r="H15" s="9" t="str">
        <x:v>配置核对</x:v>
      </x:c>
    </x:row>
    <x:row r="16" ht="28" customHeight="1">
      <x:c r="A16" s="17" t="str">
        <x:v>P10</x:v>
      </x:c>
      <x:c r="B16" s="17" t="str">
        <x:v>普通竞技</x:v>
      </x:c>
      <x:c r="C16" s="17" t="str">
        <x:v>冻结阶段</x:v>
      </x:c>
      <x:c r="D16" s="23" t="n">
        <x:v>15</x:v>
      </x:c>
      <x:c r="E16" s="17" t="str">
        <x:v>秒</x:v>
      </x:c>
      <x:c r="F16" s="17" t="str">
        <x:v>不等于购买窗口总长</x:v>
      </x:c>
      <x:c r="G16" s="17" t="str">
        <x:v>E01</x:v>
      </x:c>
      <x:c r="H16" s="17" t="str">
        <x:v>配置核对</x:v>
      </x:c>
    </x:row>
    <x:row r="17" ht="28" customHeight="1">
      <x:c r="A17" s="9" t="str">
        <x:v>P11</x:v>
      </x:c>
      <x:c r="B17" s="9" t="str">
        <x:v>Premier</x:v>
      </x:c>
      <x:c r="C17" s="9" t="str">
        <x:v>冻结阶段</x:v>
      </x:c>
      <x:c r="D17" s="22" t="n">
        <x:v>20</x:v>
      </x:c>
      <x:c r="E17" s="9" t="str">
        <x:v>秒</x:v>
      </x:c>
      <x:c r="F17" s="9" t="str">
        <x:v>Premier配置覆盖竞技的15秒</x:v>
      </x:c>
      <x:c r="G17" s="9" t="str">
        <x:v>E02</x:v>
      </x:c>
      <x:c r="H17" s="9" t="str">
        <x:v>配置核对</x:v>
      </x:c>
    </x:row>
    <x:row r="18" ht="28" customHeight="1">
      <x:c r="A18" s="17" t="str">
        <x:v>P12</x:v>
      </x:c>
      <x:c r="B18" s="17" t="str">
        <x:v>普通竞技</x:v>
      </x:c>
      <x:c r="C18" s="17" t="str">
        <x:v>加时开关</x:v>
      </x:c>
      <x:c r="D18" s="23" t="n">
        <x:v>0</x:v>
      </x:c>
      <x:c r="E18" s="17" t="str">
        <x:v>布尔</x:v>
      </x:c>
      <x:c r="F18" s="17" t="str">
        <x:v>标准配置不加时，12:12结束为平局；赛事/第三方另定</x:v>
      </x:c>
      <x:c r="G18" s="17" t="str">
        <x:v>E03</x:v>
      </x:c>
      <x:c r="H18" s="17" t="str">
        <x:v>默认配置核对</x:v>
      </x:c>
    </x:row>
    <x:row r="19" ht="28" customHeight="1">
      <x:c r="A19" s="9" t="str">
        <x:v>P13</x:v>
      </x:c>
      <x:c r="B19" s="9" t="str">
        <x:v>Premier</x:v>
      </x:c>
      <x:c r="C19" s="9" t="str">
        <x:v>加时开关</x:v>
      </x:c>
      <x:c r="D19" s="22" t="n">
        <x:v>1</x:v>
      </x:c>
      <x:c r="E19" s="9" t="str">
        <x:v>布尔</x:v>
      </x:c>
      <x:c r="F19" s="9" t="str">
        <x:v>Premier配置明确启用</x:v>
      </x:c>
      <x:c r="G19" s="9" t="str">
        <x:v>E02</x:v>
      </x:c>
      <x:c r="H19" s="9" t="str">
        <x:v>配置核对</x:v>
      </x:c>
    </x:row>
    <x:row r="20" ht="28" customHeight="1">
      <x:c r="A20" s="17" t="str">
        <x:v>P14</x:v>
      </x:c>
      <x:c r="B20" s="17" t="str">
        <x:v>Premier加时</x:v>
      </x:c>
      <x:c r="C20" s="17" t="str">
        <x:v>加时次数上限</x:v>
      </x:c>
      <x:c r="D20" s="23" t="n">
        <x:v>1</x:v>
      </x:c>
      <x:c r="E20" s="17" t="str">
        <x:v>次</x:v>
      </x:c>
      <x:c r="F20" s="17" t="str">
        <x:v>最多一次6回合；3:3加时结束为平局</x:v>
      </x:c>
      <x:c r="G20" s="17" t="str">
        <x:v>E02;E03</x:v>
      </x:c>
      <x:c r="H20" s="17" t="str">
        <x:v>配置核对</x:v>
      </x:c>
    </x:row>
    <x:row r="21" ht="28" customHeight="1">
      <x:c r="A21" s="9" t="str">
        <x:v>P15</x:v>
      </x:c>
      <x:c r="B21" s="9" t="str">
        <x:v>Premier加时</x:v>
      </x:c>
      <x:c r="C21" s="9" t="str">
        <x:v>加时回合数</x:v>
      </x:c>
      <x:c r="D21" s="22" t="n">
        <x:v>6</x:v>
      </x:c>
      <x:c r="E21" s="9" t="str">
        <x:v>回合</x:v>
      </x:c>
      <x:c r="F21" s="9" t="str">
        <x:v>每半场3，先取得加时第4胜获胜</x:v>
      </x:c>
      <x:c r="G21" s="9" t="str">
        <x:v>E03</x:v>
      </x:c>
      <x:c r="H21" s="9" t="str">
        <x:v>默认配置核对</x:v>
      </x:c>
    </x:row>
    <x:row r="22" ht="28" customHeight="1">
      <x:c r="A22" s="17" t="str">
        <x:v>P16</x:v>
      </x:c>
      <x:c r="B22" s="17" t="str">
        <x:v>Premier加时</x:v>
      </x:c>
      <x:c r="C22" s="17" t="str">
        <x:v>每个加时半场起始资金</x:v>
      </x:c>
      <x:c r="D22" s="23" t="n">
        <x:v>10000</x:v>
      </x:c>
      <x:c r="E22" s="17" t="str">
        <x:v>对局美元/人</x:v>
      </x:c>
      <x:c r="F22" s="17" t="str">
        <x:v>每个加时半场重新分配；不是把上一阶段余额补到10000</x:v>
      </x:c>
      <x:c r="G22" s="17" t="str">
        <x:v>E03</x:v>
      </x:c>
      <x:c r="H22" s="17" t="str">
        <x:v>变量说明核对</x:v>
      </x:c>
    </x:row>
    <x:row r="23" ht="28" customHeight="1">
      <x:c r="A23" s="9" t="str">
        <x:v>P17</x:v>
      </x:c>
      <x:c r="B23" s="9" t="str">
        <x:v>标准5v5</x:v>
      </x:c>
      <x:c r="C23" s="9" t="str">
        <x:v>投掷物总携带上限</x:v>
      </x:c>
      <x:c r="D23" s="22" t="n">
        <x:v>4</x:v>
      </x:c>
      <x:c r="E23" s="9" t="str">
        <x:v>个</x:v>
      </x:c>
      <x:c r="F23" s="9" t="str">
        <x:v>闪光最多2；每种其他手雷通常1；拾取、丢弃、购买次数分开统计</x:v>
      </x:c>
      <x:c r="G23" s="9" t="str">
        <x:v>E01</x:v>
      </x:c>
      <x:c r="H23" s="9" t="str">
        <x:v>总量与闪光配置核对</x:v>
      </x:c>
    </x:row>
    <x:row r="24" ht="28" customHeight="1">
      <x:c r="A24" s="17" t="str">
        <x:v>P18</x:v>
      </x:c>
      <x:c r="B24" s="17" t="str">
        <x:v>标准5v5</x:v>
      </x:c>
      <x:c r="C24" s="17" t="str">
        <x:v>闪光携带上限</x:v>
      </x:c>
      <x:c r="D24" s="23" t="n">
        <x:v>2</x:v>
      </x:c>
      <x:c r="E24" s="17" t="str">
        <x:v>个</x:v>
      </x:c>
      <x:c r="F24" s="17" t="str">
        <x:v>两枚闪光仍占总携带数2</x:v>
      </x:c>
      <x:c r="G24" s="17" t="str">
        <x:v>E01</x:v>
      </x:c>
      <x:c r="H24" s="17" t="str">
        <x:v>配置核对</x:v>
      </x:c>
    </x:row>
    <x:row r="25" ht="28" customHeight="1">
      <x:c r="A25" s="9" t="str">
        <x:v>P19</x:v>
      </x:c>
      <x:c r="B25" s="9" t="str">
        <x:v>标准5v5</x:v>
      </x:c>
      <x:c r="C25" s="9" t="str">
        <x:v>CT每次有效T淘汰团队奖励</x:v>
      </x:c>
      <x:c r="D25" s="22" t="n">
        <x:v>50</x:v>
      </x:c>
      <x:c r="E25" s="9" t="str">
        <x:v>对局美元/CT队员</x:v>
      </x:c>
      <x:c r="F25" s="9" t="str">
        <x:v>不等同于击杀者个人武器奖励；正常5人团队每次合计250</x:v>
      </x:c>
      <x:c r="G25" s="9" t="str">
        <x:v>E03;E08;E09</x:v>
      </x:c>
      <x:c r="H25" s="9" t="str">
        <x:v>官方公告+配置</x:v>
      </x:c>
    </x:row>
    <x:row r="26" ht="28" customHeight="1">
      <x:c r="A26" s="17" t="str">
        <x:v>P20</x:v>
      </x:c>
      <x:c r="B26" s="17" t="str">
        <x:v>标准5v5</x:v>
      </x:c>
      <x:c r="C26" s="17" t="str">
        <x:v>击杀队友扣款</x:v>
      </x:c>
      <x:c r="D26" s="23" t="n">
        <x:v>-300</x:v>
      </x:c>
      <x:c r="E26" s="17" t="str">
        <x:v>对局美元/次</x:v>
      </x:c>
      <x:c r="F26" s="17" t="str">
        <x:v>处罚不只现金，踢出等机制不在本预算模型模拟</x:v>
      </x:c>
      <x:c r="G26" s="17" t="str">
        <x:v>E01</x:v>
      </x:c>
      <x:c r="H26" s="17" t="str">
        <x:v>配置核对</x:v>
      </x:c>
    </x:row>
  </x:sheetData>
  <x:pageMargins left="0.7" right="0.7" top="0.75" bottom="0.75" header="0.3" footer="0.3"/>
  <x:tableParts count="1">
    <x:tablePart xmlns:r="http://schemas.openxmlformats.org/officeDocument/2006/relationships" r:id="Rdc3be3036b6542f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8" hidden="0" customWidth="1"/>
    <x:col min="4" max="4" width="46" hidden="0" customWidth="1"/>
    <x:col min="5" max="5" width="18" hidden="0" customWidth="1"/>
    <x:col min="6" max="6" width="25" hidden="0" customWidth="1"/>
    <x:col min="7" max="7" width="85" hidden="0" customWidth="1"/>
    <x:col min="8" max="8" width="2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现金收入与结算事件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/>
      <x:c r="B3" s="3"/>
      <x:c r="C3" s="3"/>
      <x:c r="D3" s="3"/>
      <x:c r="E3" s="3"/>
      <x:c r="F3" s="3"/>
      <x:c r="G3" s="3"/>
      <x:c r="H3" s="3"/>
    </x:row>
    <x:row r="4" ht="23" customHeight="1">
      <x:c r="A4" s="19" t="str">
        <x:v>本表聚焦完整5v5爆破。人质模式、短人补贴、掉线补偿、自杀/队杀归属等不混进基础公式；参见待验证项。</x:v>
      </x:c>
      <x:c r="B4" s="1"/>
      <x:c r="C4" s="1"/>
      <x:c r="D4" s="1"/>
      <x:c r="E4" s="1"/>
      <x:c r="F4" s="1"/>
      <x:c r="G4" s="1"/>
      <x:c r="H4" s="1"/>
    </x:row>
    <x:row r="5" ht="23" customHeight="1">
      <x:c r="A5" s="1"/>
      <x:c r="B5" s="1"/>
      <x:c r="C5" s="1"/>
      <x:c r="D5" s="1"/>
      <x:c r="E5" s="1"/>
      <x:c r="F5" s="1"/>
      <x:c r="G5" s="1"/>
      <x:c r="H5" s="1"/>
    </x:row>
    <x:row r="6" ht="34" customHeight="1">
      <x:c r="A6" s="14" t="str">
        <x:v>事件ID</x:v>
      </x:c>
      <x:c r="B6" s="15" t="str">
        <x:v>阵营</x:v>
      </x:c>
      <x:c r="C6" s="15" t="str">
        <x:v>触发条件</x:v>
      </x:c>
      <x:c r="D6" s="15" t="str">
        <x:v>结算对象</x:v>
      </x:c>
      <x:c r="E6" s="15" t="str">
        <x:v>单次金额</x:v>
      </x:c>
      <x:c r="F6" s="15" t="str">
        <x:v>互斥/叠加组</x:v>
      </x:c>
      <x:c r="G6" s="15" t="str">
        <x:v>结算说明</x:v>
      </x:c>
      <x:c r="H6" s="16" t="str">
        <x:v>来源ID</x:v>
      </x:c>
    </x:row>
    <x:row r="7" ht="28" customHeight="1">
      <x:c r="A7" s="9" t="str">
        <x:v>INC01</x:v>
      </x:c>
      <x:c r="B7" s="9" t="str">
        <x:v>T/CT</x:v>
      </x:c>
      <x:c r="C7" s="9" t="str">
        <x:v>歼灭对方获胜</x:v>
      </x:c>
      <x:c r="D7" s="9" t="str">
        <x:v>本队每名合格结算玩家</x:v>
      </x:c>
      <x:c r="E7" s="22" t="n">
        <x:v>3250</x:v>
      </x:c>
      <x:c r="F7" s="9" t="str">
        <x:v>回合结果</x:v>
      </x:c>
      <x:c r="G7" s="9" t="str">
        <x:v>与击杀个人奖叠加；CT有效淘汰共享奖另列</x:v>
      </x:c>
      <x:c r="H7" s="9" t="str">
        <x:v>E01</x:v>
      </x:c>
    </x:row>
    <x:row r="8" ht="28" customHeight="1">
      <x:c r="A8" s="17" t="str">
        <x:v>INC02</x:v>
      </x:c>
      <x:c r="B8" s="17" t="str">
        <x:v>CT</x:v>
      </x:c>
      <x:c r="C8" s="17" t="str">
        <x:v>T未下包，回合时间耗尽</x:v>
      </x:c>
      <x:c r="D8" s="17" t="str">
        <x:v>CT每名合格结算玩家</x:v>
      </x:c>
      <x:c r="E8" s="23" t="n">
        <x:v>3250</x:v>
      </x:c>
      <x:c r="F8" s="17" t="str">
        <x:v>回合结果</x:v>
      </x:c>
      <x:c r="G8" s="17" t="str">
        <x:v>无论是否击杀全部T</x:v>
      </x:c>
      <x:c r="H8" s="17" t="str">
        <x:v>E01</x:v>
      </x:c>
    </x:row>
    <x:row r="9" ht="28" customHeight="1">
      <x:c r="A9" s="9" t="str">
        <x:v>INC03</x:v>
      </x:c>
      <x:c r="B9" s="9" t="str">
        <x:v>T</x:v>
      </x:c>
      <x:c r="C9" s="9" t="str">
        <x:v>C4成功爆炸获胜</x:v>
      </x:c>
      <x:c r="D9" s="9" t="str">
        <x:v>T每名合格结算玩家</x:v>
      </x:c>
      <x:c r="E9" s="22" t="n">
        <x:v>3500</x:v>
      </x:c>
      <x:c r="F9" s="9" t="str">
        <x:v>回合结果</x:v>
      </x:c>
      <x:c r="G9" s="9" t="str">
        <x:v>不是在3250上再加3500；两种胜因互斥</x:v>
      </x:c>
      <x:c r="H9" s="9" t="str">
        <x:v>E01</x:v>
      </x:c>
    </x:row>
    <x:row r="10" ht="28" customHeight="1">
      <x:c r="A10" s="17" t="str">
        <x:v>INC04</x:v>
      </x:c>
      <x:c r="B10" s="17" t="str">
        <x:v>CT</x:v>
      </x:c>
      <x:c r="C10" s="17" t="str">
        <x:v>成功拆除C4获胜</x:v>
      </x:c>
      <x:c r="D10" s="17" t="str">
        <x:v>CT每名合格结算玩家</x:v>
      </x:c>
      <x:c r="E10" s="23" t="n">
        <x:v>3500</x:v>
      </x:c>
      <x:c r="F10" s="17" t="str">
        <x:v>回合结果</x:v>
      </x:c>
      <x:c r="G10" s="17" t="str">
        <x:v>拆弹者另加个人300；不要使用裸ConVar默认3250覆盖模式配置3500</x:v>
      </x:c>
      <x:c r="H10" s="17" t="str">
        <x:v>E01</x:v>
      </x:c>
    </x:row>
    <x:row r="11" ht="28" customHeight="1">
      <x:c r="A11" s="9" t="str">
        <x:v>INC05</x:v>
      </x:c>
      <x:c r="B11" s="9" t="str">
        <x:v>T/CT</x:v>
      </x:c>
      <x:c r="C11" s="9" t="str">
        <x:v>回合失败</x:v>
      </x:c>
      <x:c r="D11" s="9" t="str">
        <x:v>本队每名合格结算玩家</x:v>
      </x:c>
      <x:c r="E11" s="22" t="str">
        <x:v>未定义</x:v>
      </x:c>
      <x:c r="F11" s="9" t="str">
        <x:v>回合结果</x:v>
      </x:c>
      <x:c r="G11" s="9" t="str">
        <x:v>1400+500×本回合进入时档位；T超时存活等零收入例外优先</x:v>
      </x:c>
      <x:c r="H11" s="9" t="str">
        <x:v>E01;E03</x:v>
      </x:c>
    </x:row>
    <x:row r="12" ht="28" customHeight="1">
      <x:c r="A12" s="17" t="str">
        <x:v>INC06</x:v>
      </x:c>
      <x:c r="B12" s="17" t="str">
        <x:v>T</x:v>
      </x:c>
      <x:c r="C12" s="17" t="str">
        <x:v>C4下包完成</x:v>
      </x:c>
      <x:c r="D12" s="17" t="str">
        <x:v>实际下包者</x:v>
      </x:c>
      <x:c r="E12" s="23" t="n">
        <x:v>300</x:v>
      </x:c>
      <x:c r="F12" s="17" t="str">
        <x:v>个人目标</x:v>
      </x:c>
      <x:c r="G12" s="17" t="str">
        <x:v>不等于全队每人300；失败被拆还可另计团队600</x:v>
      </x:c>
      <x:c r="H12" s="17" t="str">
        <x:v>E01</x:v>
      </x:c>
    </x:row>
    <x:row r="13" ht="28" customHeight="1">
      <x:c r="A13" s="9" t="str">
        <x:v>INC07</x:v>
      </x:c>
      <x:c r="B13" s="9" t="str">
        <x:v>CT</x:v>
      </x:c>
      <x:c r="C13" s="9" t="str">
        <x:v>C4拆除完成</x:v>
      </x:c>
      <x:c r="D13" s="9" t="str">
        <x:v>实际拆包者</x:v>
      </x:c>
      <x:c r="E13" s="22" t="n">
        <x:v>300</x:v>
      </x:c>
      <x:c r="F13" s="9" t="str">
        <x:v>个人目标</x:v>
      </x:c>
      <x:c r="G13" s="9" t="str">
        <x:v>与CT拆包获胜3500及正常CT淘汰共享奖叠加</x:v>
      </x:c>
      <x:c r="H13" s="9" t="str">
        <x:v>E01</x:v>
      </x:c>
    </x:row>
    <x:row r="14" ht="28" customHeight="1">
      <x:c r="A14" s="17" t="str">
        <x:v>INC08</x:v>
      </x:c>
      <x:c r="B14" s="17" t="str">
        <x:v>T</x:v>
      </x:c>
      <x:c r="C14" s="17" t="str">
        <x:v>已下包但最终被拆</x:v>
      </x:c>
      <x:c r="D14" s="17" t="str">
        <x:v>T每名合格结算玩家</x:v>
      </x:c>
      <x:c r="E14" s="23" t="n">
        <x:v>600</x:v>
      </x:c>
      <x:c r="F14" s="17" t="str">
        <x:v>团队目标</x:v>
      </x:c>
      <x:c r="G14" s="17" t="str">
        <x:v>在败局补偿之外追加；不是旧800；不适用于成功爆炸再发600</x:v>
      </x:c>
      <x:c r="H14" s="17" t="str">
        <x:v>E01;E11</x:v>
      </x:c>
    </x:row>
    <x:row r="15" ht="28" customHeight="1">
      <x:c r="A15" s="9" t="str">
        <x:v>INC09</x:v>
      </x:c>
      <x:c r="B15" s="9" t="str">
        <x:v>T/CT</x:v>
      </x:c>
      <x:c r="C15" s="9" t="str">
        <x:v>正常击杀敌人</x:v>
      </x:c>
      <x:c r="D15" s="9" t="str">
        <x:v>击杀者</x:v>
      </x:c>
      <x:c r="E15" s="22" t="str">
        <x:v>未定义</x:v>
      </x:c>
      <x:c r="F15" s="9" t="str">
        <x:v>个人击杀</x:v>
      </x:c>
      <x:c r="G15" s="9" t="str">
        <x:v>按本次击杀实际武器查02；爆头不额外加钱；助攻不按击杀奖再发</x:v>
      </x:c>
      <x:c r="H15" s="9" t="str">
        <x:v>E01;E04</x:v>
      </x:c>
    </x:row>
    <x:row r="16" ht="28" customHeight="1">
      <x:c r="A16" s="17" t="str">
        <x:v>INC10</x:v>
      </x:c>
      <x:c r="B16" s="17" t="str">
        <x:v>CT</x:v>
      </x:c>
      <x:c r="C16" s="17" t="str">
        <x:v>回合内服务器计入的一名T淘汰</x:v>
      </x:c>
      <x:c r="D16" s="17" t="str">
        <x:v>CT团队每名合格结算玩家</x:v>
      </x:c>
      <x:c r="E16" s="23" t="n">
        <x:v>50</x:v>
      </x:c>
      <x:c r="F16" s="17" t="str">
        <x:v>团队淘汰</x:v>
      </x:c>
      <x:c r="G16" s="17" t="str">
        <x:v>正常5名CT每次合计250；不要只给击杀者50；无论回合输赢</x:v>
      </x:c>
      <x:c r="H16" s="17" t="str">
        <x:v>E03;E08;E09</x:v>
      </x:c>
    </x:row>
    <x:row r="17" ht="28" customHeight="1">
      <x:c r="A17" s="9" t="str">
        <x:v>INC11</x:v>
      </x:c>
      <x:c r="B17" s="9" t="str">
        <x:v>T</x:v>
      </x:c>
      <x:c r="C17" s="9" t="str">
        <x:v>未下包且时间耗尽时仍存活</x:v>
      </x:c>
      <x:c r="D17" s="9" t="str">
        <x:v>该存活T</x:v>
      </x:c>
      <x:c r="E17" s="22" t="n">
        <x:v>0</x:v>
      </x:c>
      <x:c r="F17" s="9" t="str">
        <x:v>零收入覆盖</x:v>
      </x:c>
      <x:c r="G17" s="9" t="str">
        <x:v>覆盖其本回合失败结算；之前已入账的现金不清零；时间后死亡不能倒补该次超时奖励</x:v>
      </x:c>
      <x:c r="H17" s="9" t="str">
        <x:v>E06</x:v>
      </x:c>
    </x:row>
    <x:row r="18" ht="28" customHeight="1">
      <x:c r="A18" s="17" t="str">
        <x:v>INC12</x:v>
      </x:c>
      <x:c r="B18" s="17" t="str">
        <x:v>T/CT</x:v>
      </x:c>
      <x:c r="C18" s="17" t="str">
        <x:v>击杀队友</x:v>
      </x:c>
      <x:c r="D18" s="17" t="str">
        <x:v>实施者</x:v>
      </x:c>
      <x:c r="E18" s="23" t="n">
        <x:v>-300</x:v>
      </x:c>
      <x:c r="F18" s="17" t="str">
        <x:v>罚款</x:v>
      </x:c>
      <x:c r="G18" s="17" t="str">
        <x:v>击杀敌人奖励不用于队杀；单列处罚，钱包不得负数</x:v>
      </x:c>
      <x:c r="H18" s="17" t="str">
        <x:v>E01</x:v>
      </x:c>
    </x:row>
  </x:sheetData>
  <x:pageMargins left="0.7" right="0.7" top="0.75" bottom="0.75" header="0.3" footer="0.3"/>
  <x:tableParts count="1">
    <x:tablePart xmlns:r="http://schemas.openxmlformats.org/officeDocument/2006/relationships" r:id="R955dfff657d44dc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5" hidden="0" customWidth="1"/>
    <x:col min="4" max="4" width="26" hidden="0" customWidth="1"/>
    <x:col min="5" max="5" width="26" hidden="0" customWidth="1"/>
    <x:col min="6" max="6" width="25" hidden="0" customWidth="1"/>
    <x:col min="7" max="7" width="7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败局补偿状态转移</x:v>
      </x:c>
      <x:c r="B2" s="1"/>
      <x:c r="C2" s="1"/>
      <x:c r="D2" s="1"/>
      <x:c r="E2" s="1"/>
      <x:c r="F2" s="1"/>
      <x:c r="G2" s="1"/>
    </x:row>
    <x:row r="3" ht="23" customHeight="1">
      <x:c r="A3" s="3"/>
      <x:c r="B3" s="3"/>
      <x:c r="C3" s="3"/>
      <x:c r="D3" s="3"/>
      <x:c r="E3" s="3"/>
      <x:c r="F3" s="3"/>
      <x:c r="G3" s="3"/>
    </x:row>
    <x:row r="4" ht="23" customHeight="1">
      <x:c r="A4" s="19" t="str">
        <x:v>先按进入回合时档位决定本次败局补偿，再维护下一回合档位；胜局不发败局补偿。把“连败次数”直接作档位会误算半场开头和胜后再败。</x:v>
      </x:c>
      <x:c r="B4" s="1"/>
      <x:c r="C4" s="1"/>
      <x:c r="D4" s="1"/>
      <x:c r="E4" s="1"/>
      <x:c r="F4" s="1"/>
      <x:c r="G4" s="1"/>
    </x:row>
    <x:row r="5" ht="23" customHeight="1">
      <x:c r="A5" s="1"/>
      <x:c r="B5" s="1"/>
      <x:c r="C5" s="1"/>
      <x:c r="D5" s="1"/>
      <x:c r="E5" s="1"/>
      <x:c r="F5" s="1"/>
      <x:c r="G5" s="1"/>
    </x:row>
    <x:row r="6" ht="34" customHeight="1">
      <x:c r="A6" s="14" t="str">
        <x:v>规则ID</x:v>
      </x:c>
      <x:c r="B6" s="15" t="str">
        <x:v>回合进入时档位</x:v>
      </x:c>
      <x:c r="C6" s="15" t="str">
        <x:v>本回合失败基础补偿</x:v>
      </x:c>
      <x:c r="D6" s="15" t="str">
        <x:v>失败后的下一回合档位</x:v>
      </x:c>
      <x:c r="E6" s="15" t="str">
        <x:v>获胜后的下一回合档位</x:v>
      </x:c>
      <x:c r="F6" s="15" t="str">
        <x:v>来源ID</x:v>
      </x:c>
      <x:c r="G6" s="16" t="str">
        <x:v>说明</x:v>
      </x:c>
    </x:row>
    <x:row r="7" ht="28" customHeight="1">
      <x:c r="A7" s="9" t="str">
        <x:v>LOS0</x:v>
      </x:c>
      <x:c r="B7" s="22" t="n">
        <x:v>0</x:v>
      </x:c>
      <x:c r="C7" s="22" t="n">
        <x:v>1400</x:v>
      </x:c>
      <x:c r="D7" s="22" t="n">
        <x:v>1</x:v>
      </x:c>
      <x:c r="E7" s="22" t="n">
        <x:v>0</x:v>
      </x:c>
      <x:c r="F7" s="9" t="str">
        <x:v>E01;E03</x:v>
      </x:c>
      <x:c r="G7" s="9" t="str">
        <x:v>档位按队伍维护；不是每人击杀数或个人连败</x:v>
      </x:c>
    </x:row>
    <x:row r="8" ht="28" customHeight="1">
      <x:c r="A8" s="17" t="str">
        <x:v>LOS1</x:v>
      </x:c>
      <x:c r="B8" s="23" t="n">
        <x:v>1</x:v>
      </x:c>
      <x:c r="C8" s="23" t="n">
        <x:v>1900</x:v>
      </x:c>
      <x:c r="D8" s="23" t="n">
        <x:v>2</x:v>
      </x:c>
      <x:c r="E8" s="23" t="n">
        <x:v>0</x:v>
      </x:c>
      <x:c r="F8" s="17" t="str">
        <x:v>E01;E03</x:v>
      </x:c>
      <x:c r="G8" s="17" t="str">
        <x:v>半场初始使用此档，首败1900</x:v>
      </x:c>
    </x:row>
    <x:row r="9" ht="28" customHeight="1">
      <x:c r="A9" s="9" t="str">
        <x:v>LOS2</x:v>
      </x:c>
      <x:c r="B9" s="22" t="n">
        <x:v>2</x:v>
      </x:c>
      <x:c r="C9" s="22" t="n">
        <x:v>2400</x:v>
      </x:c>
      <x:c r="D9" s="22" t="n">
        <x:v>3</x:v>
      </x:c>
      <x:c r="E9" s="22" t="n">
        <x:v>1</x:v>
      </x:c>
      <x:c r="F9" s="9" t="str">
        <x:v>E01;E03</x:v>
      </x:c>
      <x:c r="G9" s="9" t="str">
        <x:v>档位按队伍维护；不是每人击杀数或个人连败</x:v>
      </x:c>
    </x:row>
    <x:row r="10" ht="28" customHeight="1">
      <x:c r="A10" s="17" t="str">
        <x:v>LOS3</x:v>
      </x:c>
      <x:c r="B10" s="23" t="n">
        <x:v>3</x:v>
      </x:c>
      <x:c r="C10" s="23" t="n">
        <x:v>2900</x:v>
      </x:c>
      <x:c r="D10" s="23" t="n">
        <x:v>4</x:v>
      </x:c>
      <x:c r="E10" s="23" t="n">
        <x:v>2</x:v>
      </x:c>
      <x:c r="F10" s="17" t="str">
        <x:v>E01;E03</x:v>
      </x:c>
      <x:c r="G10" s="17" t="str">
        <x:v>档位按队伍维护；不是每人击杀数或个人连败</x:v>
      </x:c>
    </x:row>
    <x:row r="11" ht="28" customHeight="1">
      <x:c r="A11" s="9" t="str">
        <x:v>LOS4</x:v>
      </x:c>
      <x:c r="B11" s="22" t="n">
        <x:v>4</x:v>
      </x:c>
      <x:c r="C11" s="22" t="n">
        <x:v>3400</x:v>
      </x:c>
      <x:c r="D11" s="22" t="n">
        <x:v>4</x:v>
      </x:c>
      <x:c r="E11" s="22" t="n">
        <x:v>3</x:v>
      </x:c>
      <x:c r="F11" s="9" t="str">
        <x:v>E01;E03</x:v>
      </x:c>
      <x:c r="G11" s="9" t="str">
        <x:v>档位按队伍维护；不是每人击杀数或个人连败</x:v>
      </x:c>
    </x:row>
  </x:sheetData>
  <x:pageMargins left="0.7" right="0.7" top="0.75" bottom="0.75" header="0.3" footer="0.3"/>
  <x:tableParts count="1">
    <x:tablePart xmlns:r="http://schemas.openxmlformats.org/officeDocument/2006/relationships" r:id="R5c8b84641d0b427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55" hidden="0" customWidth="1"/>
    <x:col min="3" max="3" width="50" hidden="0" customWidth="1"/>
    <x:col min="4" max="4" width="70" hidden="0" customWidth="1"/>
    <x:col min="5" max="5" width="70" hidden="0" customWidth="1"/>
    <x:col min="6" max="6" width="25" hidden="0" customWidth="1"/>
    <x:col min="7" max="7" width="3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购买、退款与装备状态</x:v>
      </x:c>
      <x:c r="B2" s="1"/>
      <x:c r="C2" s="1"/>
      <x:c r="D2" s="1"/>
      <x:c r="E2" s="1"/>
      <x:c r="F2" s="1"/>
      <x:c r="G2" s="1"/>
    </x:row>
    <x:row r="3" ht="23" customHeight="1">
      <x:c r="A3" s="3"/>
      <x:c r="B3" s="3"/>
      <x:c r="C3" s="3"/>
      <x:c r="D3" s="3"/>
      <x:c r="E3" s="3"/>
      <x:c r="F3" s="3"/>
      <x:c r="G3" s="3"/>
    </x:row>
    <x:row r="4" ht="23" customHeight="1">
      <x:c r="A4" s="1"/>
      <x:c r="B4" s="1"/>
      <x:c r="C4" s="1"/>
      <x:c r="D4" s="1"/>
      <x:c r="E4" s="1"/>
      <x:c r="F4" s="1"/>
      <x:c r="G4" s="1"/>
    </x:row>
    <x:row r="5" ht="23" customHeight="1">
      <x:c r="A5" s="1"/>
      <x:c r="B5" s="1"/>
      <x:c r="C5" s="1"/>
      <x:c r="D5" s="1"/>
      <x:c r="E5" s="1"/>
      <x:c r="F5" s="1"/>
      <x:c r="G5" s="1"/>
    </x:row>
    <x:row r="6" ht="34" customHeight="1">
      <x:c r="A6" s="14" t="str">
        <x:v>规则ID</x:v>
      </x:c>
      <x:c r="B6" s="15" t="str">
        <x:v>条件</x:v>
      </x:c>
      <x:c r="C6" s="15" t="str">
        <x:v>处理结果</x:v>
      </x:c>
      <x:c r="D6" s="15" t="str">
        <x:v>限制</x:v>
      </x:c>
      <x:c r="E6" s="15" t="str">
        <x:v>验收要点</x:v>
      </x:c>
      <x:c r="F6" s="15" t="str">
        <x:v>来源ID</x:v>
      </x:c>
      <x:c r="G6" s="16" t="str">
        <x:v>证据状态</x:v>
      </x:c>
    </x:row>
    <x:row r="7" ht="28" customHeight="1">
      <x:c r="A7" s="9" t="str">
        <x:v>BUY01</x:v>
      </x:c>
      <x:c r="B7" s="9" t="str">
        <x:v>进入合法购买区且窗口未结束</x:v>
      </x:c>
      <x:c r="C7" s="9" t="str">
        <x:v>允许购买</x:v>
      </x:c>
      <x:c r="D7" s="9" t="str">
        <x:v>需现金足够、阵营正确、配装可用、未达到数量限制</x:v>
      </x:c>
      <x:c r="E7" s="9" t="str">
        <x:v>扣除实际购买成本一次；客户端反复点击不得重复结算</x:v>
      </x:c>
      <x:c r="F7" s="9" t="str">
        <x:v>E01;E13</x:v>
      </x:c>
      <x:c r="G7" s="9" t="str">
        <x:v>配置+公告</x:v>
      </x:c>
    </x:row>
    <x:row r="8" ht="28" customHeight="1">
      <x:c r="A8" s="17" t="str">
        <x:v>BUY02</x:v>
      </x:c>
      <x:c r="B8" s="17" t="str">
        <x:v>现金等于成本</x:v>
      </x:c>
      <x:c r="C8" s="17" t="str">
        <x:v>允许购买，余额0</x:v>
      </x:c>
      <x:c r="D8" s="17" t="str">
        <x:v>成本必须按当前持有状态计算</x:v>
      </x:c>
      <x:c r="E8" s="17" t="str">
        <x:v>不得因使用大于而非大于等于拒绝等额购买</x:v>
      </x:c>
      <x:c r="F8" s="17" t="str">
        <x:v>设计验收</x:v>
      </x:c>
      <x:c r="G8" s="17" t="str">
        <x:v>公式验收</x:v>
      </x:c>
    </x:row>
    <x:row r="9" ht="28" customHeight="1">
      <x:c r="A9" s="9" t="str">
        <x:v>BUY03</x:v>
      </x:c>
      <x:c r="B9" s="9" t="str">
        <x:v>现金低于成本</x:v>
      </x:c>
      <x:c r="C9" s="9" t="str">
        <x:v>拒绝购买</x:v>
      </x:c>
      <x:c r="D9" s="9" t="str">
        <x:v>不足额且没有队友直接发枪</x:v>
      </x:c>
      <x:c r="E9" s="9" t="str">
        <x:v>余额/物品不变；不能先扣钱再发失败</x:v>
      </x:c>
      <x:c r="F9" s="9" t="str">
        <x:v>设计验收</x:v>
      </x:c>
      <x:c r="G9" s="9" t="str">
        <x:v>公式验收</x:v>
      </x:c>
    </x:row>
    <x:row r="10" ht="28" customHeight="1">
      <x:c r="A10" s="17" t="str">
        <x:v>BUY04</x:v>
      </x:c>
      <x:c r="B10" s="17" t="str">
        <x:v>武器未在当前阵营配装</x:v>
      </x:c>
      <x:c r="C10" s="17" t="str">
        <x:v>不可由个人菜单购买</x:v>
      </x:c>
      <x:c r="D10" s="17" t="str">
        <x:v>所有34枪不是每局全部同时可购</x:v>
      </x:c>
      <x:c r="E10" s="17" t="str">
        <x:v>世界拾取与配装可买是两条规则</x:v>
      </x:c>
      <x:c r="F10" s="17" t="str">
        <x:v>E05;E13</x:v>
      </x:c>
      <x:c r="G10" s="17" t="str">
        <x:v>官方公告</x:v>
      </x:c>
    </x:row>
    <x:row r="11" ht="28" customHeight="1">
      <x:c r="A11" s="9" t="str">
        <x:v>BUY05</x:v>
      </x:c>
      <x:c r="B11" s="9" t="str">
        <x:v>当前回合自购且未使用</x:v>
      </x:c>
      <x:c r="C11" s="9" t="str">
        <x:v>允许申请退款</x:v>
      </x:c>
      <x:c r="D11" s="9" t="str">
        <x:v>仍需处于可购买/退购的规则环境</x:v>
      </x:c>
      <x:c r="E11" s="9" t="str">
        <x:v>退回该次实际支付金额；道具实例只能结算一次</x:v>
      </x:c>
      <x:c r="F11" s="9" t="str">
        <x:v>E13</x:v>
      </x:c>
      <x:c r="G11" s="9" t="str">
        <x:v>官方公告</x:v>
      </x:c>
    </x:row>
    <x:row r="12" ht="28" customHeight="1">
      <x:c r="A12" s="17" t="str">
        <x:v>BUY06</x:v>
      </x:c>
      <x:c r="B12" s="17" t="str">
        <x:v>枪已开火／道具已投掷</x:v>
      </x:c>
      <x:c r="C12" s="17" t="str">
        <x:v>拒绝该实例退款</x:v>
      </x:c>
      <x:c r="D12" s="17" t="str">
        <x:v>包括Buy &amp; Throw后开火与R8副射</x:v>
      </x:c>
      <x:c r="E12" s="17" t="str">
        <x:v>不因丢弃再拾取恢复可退状态</x:v>
      </x:c>
      <x:c r="F12" s="17" t="str">
        <x:v>E10;E14</x:v>
      </x:c>
      <x:c r="G12" s="17" t="str">
        <x:v>官方修复记录</x:v>
      </x:c>
    </x:row>
    <x:row r="13" ht="28" customHeight="1">
      <x:c r="A13" s="9" t="str">
        <x:v>BUY07</x:v>
      </x:c>
      <x:c r="B13" s="9" t="str">
        <x:v>跨回合保留／拾取他人装备</x:v>
      </x:c>
      <x:c r="C13" s="9" t="str">
        <x:v>不按自己本回合支出退款</x:v>
      </x:c>
      <x:c r="D13" s="9" t="str">
        <x:v>发枪方/拾取方的归属与状态分开</x:v>
      </x:c>
      <x:c r="E13" s="9" t="str">
        <x:v>不把捡到的枪兑换为个人现金</x:v>
      </x:c>
      <x:c r="F13" s="9" t="str">
        <x:v>E13</x:v>
      </x:c>
      <x:c r="G13" s="9" t="str">
        <x:v>规则边界；归属边缘实机另验</x:v>
      </x:c>
    </x:row>
    <x:row r="14" ht="28" customHeight="1">
      <x:c r="A14" s="17" t="str">
        <x:v>BUY08</x:v>
      </x:c>
      <x:c r="B14" s="17" t="str">
        <x:v>自购完整防具（无防具）</x:v>
      </x:c>
      <x:c r="C14" s="17" t="str">
        <x:v>1000</x:v>
      </x:c>
      <x:c r="D14" s="17" t="str">
        <x:v>防弹衣与头盔组合购买</x:v>
      </x:c>
      <x:c r="E14" s="17" t="str">
        <x:v>与单买650护甲不重复计价</x:v>
      </x:c>
      <x:c r="F14" s="17" t="str">
        <x:v>E04</x:v>
      </x:c>
      <x:c r="G14" s="17" t="str">
        <x:v>配置核对</x:v>
      </x:c>
    </x:row>
    <x:row r="15" ht="28" customHeight="1">
      <x:c r="A15" s="9" t="str">
        <x:v>BUY09</x:v>
      </x:c>
      <x:c r="B15" s="9" t="str">
        <x:v>已有100护甲、无头盔</x:v>
      </x:c>
      <x:c r="C15" s="9" t="str">
        <x:v>补头盔参考350</x:v>
      </x:c>
      <x:c r="D15" s="9" t="str">
        <x:v>1000−650；文本证实有“已有护甲，购买头盔”分支</x:v>
      </x:c>
      <x:c r="E15" s="9" t="str">
        <x:v>本次差额实机未核验，预算表必须标为假设，不参与已验证基准用例</x:v>
      </x:c>
      <x:c r="F15" s="9" t="str">
        <x:v>E04;E06</x:v>
      </x:c>
      <x:c r="G15" s="9" t="str">
        <x:v>条件差额待实机</x:v>
      </x:c>
    </x:row>
    <x:row r="16" ht="28" customHeight="1">
      <x:c r="A16" s="17" t="str">
        <x:v>BUY10</x:v>
      </x:c>
      <x:c r="B16" s="17" t="str">
        <x:v>已有头盔，护甲未满</x:v>
      </x:c>
      <x:c r="C16" s="17" t="str">
        <x:v>补护甲参考650</x:v>
      </x:c>
      <x:c r="D16" s="17" t="str">
        <x:v>护甲补充按整件购买；非线性每点护甲计价</x:v>
      </x:c>
      <x:c r="E16" s="17" t="str">
        <x:v>本次条件分支实机未核验；不能按剩余护甲比例生成退款价值</x:v>
      </x:c>
      <x:c r="F16" s="17" t="str">
        <x:v>E04;E06</x:v>
      </x:c>
      <x:c r="G16" s="17" t="str">
        <x:v>条件差额待实机</x:v>
      </x:c>
    </x:row>
    <x:row r="17" ht="28" customHeight="1">
      <x:c r="A17" s="9" t="str">
        <x:v>BUY11</x:v>
      </x:c>
      <x:c r="B17" s="9" t="str">
        <x:v>护甲未满且无头盔，再购完整防具</x:v>
      </x:c>
      <x:c r="C17" s="9" t="str">
        <x:v>参考1000</x:v>
      </x:c>
      <x:c r="D17" s="9" t="str">
        <x:v>不是对所有已有护甲都只收350</x:v>
      </x:c>
      <x:c r="E17" s="9" t="str">
        <x:v>条件分支待实机核验；需在用例中覆盖99护甲与100护甲差异</x:v>
      </x:c>
      <x:c r="F17" s="9" t="str">
        <x:v>E04;E06</x:v>
      </x:c>
      <x:c r="G17" s="9" t="str">
        <x:v>条件差额待实机</x:v>
      </x:c>
    </x:row>
    <x:row r="18" ht="28" customHeight="1">
      <x:c r="A18" s="17" t="str">
        <x:v>BUY12</x:v>
      </x:c>
      <x:c r="B18" s="17" t="str">
        <x:v>手雷携带总量4或闪光2已满</x:v>
      </x:c>
      <x:c r="C18" s="17" t="str">
        <x:v>拒绝超量持有</x:v>
      </x:c>
      <x:c r="D18" s="17" t="str">
        <x:v>丢弃后可否再次购买涉及单回合购买次数限制</x:v>
      </x:c>
      <x:c r="E18" s="17" t="str">
        <x:v>携带上限不能代替购买次数上限，见待验证项</x:v>
      </x:c>
      <x:c r="F18" s="17" t="str">
        <x:v>E01</x:v>
      </x:c>
      <x:c r="G18" s="17" t="str">
        <x:v>部分配置核对</x:v>
      </x:c>
    </x:row>
    <x:row r="19" ht="28" customHeight="1">
      <x:c r="A19" s="9" t="str">
        <x:v>BUY13</x:v>
      </x:c>
      <x:c r="B19" s="9" t="str">
        <x:v>队友发枪</x:v>
      </x:c>
      <x:c r="C19" s="9" t="str">
        <x:v>物品转移，现金不直接共享</x:v>
      </x:c>
      <x:c r="D19" s="9" t="str">
        <x:v>出资者购买后丢弃／Buy &amp; Throw，接收者拾取</x:v>
      </x:c>
      <x:c r="E19" s="9" t="str">
        <x:v>队伍总预算有余不表示每个玩家都能独立支付；需做逐人分配</x:v>
      </x:c>
      <x:c r="F19" s="9" t="str">
        <x:v>E13</x:v>
      </x:c>
      <x:c r="G19" s="9" t="str">
        <x:v>官方界面机制</x:v>
      </x:c>
    </x:row>
    <x:row r="20" ht="28" customHeight="1">
      <x:c r="A20" s="17" t="str">
        <x:v>BUY14</x:v>
      </x:c>
      <x:c r="B20" s="17" t="str">
        <x:v>保枪进入下一回合</x:v>
      </x:c>
      <x:c r="C20" s="17" t="str">
        <x:v>保留相应装备的使用价值</x:v>
      </x:c>
      <x:c r="D20" s="17" t="str">
        <x:v>死亡掉落与他人拾取会转移或损失物品</x:v>
      </x:c>
      <x:c r="E20" s="17" t="str">
        <x:v>不把保留装备自动按原价计为可花现金</x:v>
      </x:c>
      <x:c r="F20" s="17" t="str">
        <x:v>E01</x:v>
      </x:c>
      <x:c r="G20" s="17" t="str">
        <x:v>规则分析</x:v>
      </x:c>
    </x:row>
  </x:sheetData>
  <x:pageMargins left="0.7" right="0.7" top="0.75" bottom="0.75" header="0.3" footer="0.3"/>
  <x:tableParts count="1">
    <x:tablePart xmlns:r="http://schemas.openxmlformats.org/officeDocument/2006/relationships" r:id="R6bb50c87285242a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95" hidden="0" customWidth="1"/>
    <x:col min="5" max="5" width="23" hidden="0" customWidth="1"/>
    <x:col min="6" max="6" width="23" hidden="0" customWidth="1"/>
    <x:col min="7" max="7" width="65" hidden="0" customWidth="1"/>
    <x:col min="8" max="8" width="25" hidden="0" customWidth="1"/>
    <x:col min="9" max="9" width="60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3" customHeight="1">
      <x:c r="A2" s="2" t="str">
        <x:v>配装预算样例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23" customHeight="1">
      <x:c r="A4" s="19" t="str">
        <x:v>“全起”不是固定金额。是否补头、是否需要钳子、保留装备和投掷物组合都会改变预算。</x:v>
      </x:c>
      <x:c r="B4" s="1"/>
      <x:c r="C4" s="1"/>
      <x:c r="D4" s="1"/>
      <x:c r="E4" s="1"/>
      <x:c r="F4" s="1"/>
      <x:c r="G4" s="1"/>
      <x:c r="H4" s="1"/>
      <x:c r="I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34" customHeight="1">
      <x:c r="A6" s="14" t="str">
        <x:v>预设ID</x:v>
      </x:c>
      <x:c r="B6" s="15" t="str">
        <x:v>阵营</x:v>
      </x:c>
      <x:c r="C6" s="15" t="str">
        <x:v>配装名称</x:v>
      </x:c>
      <x:c r="D6" s="15" t="str">
        <x:v>物品ID清单（重复即数量）</x:v>
      </x:c>
      <x:c r="E6" s="15" t="str">
        <x:v>新增购买总价</x:v>
      </x:c>
      <x:c r="F6" s="15" t="str">
        <x:v>投掷物数量</x:v>
      </x:c>
      <x:c r="G6" s="15" t="str">
        <x:v>前置条件</x:v>
      </x:c>
      <x:c r="H6" s="15" t="str">
        <x:v>价格来源</x:v>
      </x:c>
      <x:c r="I6" s="16" t="str">
        <x:v>样例属性</x:v>
      </x:c>
    </x:row>
    <x:row r="7" ht="28" customHeight="1">
      <x:c r="A7" s="9" t="str">
        <x:v>B01</x:v>
      </x:c>
      <x:c r="B7" s="9" t="str">
        <x:v>T</x:v>
      </x:c>
      <x:c r="C7" s="9" t="str">
        <x:v>手枪回合护甲</x:v>
      </x:c>
      <x:c r="D7" s="9" t="str">
        <x:v>item_kevlar</x:v>
      </x:c>
      <x:c r="E7" s="22" t="n">
        <x:v>650</x:v>
      </x:c>
      <x:c r="F7" s="22" t="n">
        <x:v>0</x:v>
      </x:c>
      <x:c r="G7" s="9" t="str">
        <x:v>不含其他购买；默认手枪免费</x:v>
      </x:c>
      <x:c r="H7" s="9" t="str">
        <x:v>E04</x:v>
      </x:c>
      <x:c r="I7" s="9" t="str">
        <x:v>为展示经济决策而编排的分析样例；不是官方推荐固定配装</x:v>
      </x:c>
    </x:row>
    <x:row r="8" ht="28" customHeight="1">
      <x:c r="A8" s="17" t="str">
        <x:v>B02</x:v>
      </x:c>
      <x:c r="B8" s="17" t="str">
        <x:v>CT</x:v>
      </x:c>
      <x:c r="C8" s="17" t="str">
        <x:v>手枪回合拆包工具</x:v>
      </x:c>
      <x:c r="D8" s="17" t="str">
        <x:v>item_defuser</x:v>
      </x:c>
      <x:c r="E8" s="23" t="n">
        <x:v>400</x:v>
      </x:c>
      <x:c r="F8" s="23" t="n">
        <x:v>0</x:v>
      </x:c>
      <x:c r="G8" s="17" t="str">
        <x:v>可另加烟300，总计700</x:v>
      </x:c>
      <x:c r="H8" s="17" t="str">
        <x:v>E04</x:v>
      </x:c>
      <x:c r="I8" s="17" t="str">
        <x:v>为展示经济决策而编排的分析样例；不是官方推荐固定配装</x:v>
      </x:c>
    </x:row>
    <x:row r="9" ht="28" customHeight="1">
      <x:c r="A9" s="9" t="str">
        <x:v>B03</x:v>
      </x:c>
      <x:c r="B9" s="9" t="str">
        <x:v>T</x:v>
      </x:c>
      <x:c r="C9" s="9" t="str">
        <x:v>MAC-10基本配装</x:v>
      </x:c>
      <x:c r="D9" s="9" t="str">
        <x:v>weapon_mac10;item_assaultsuit;weapon_smokegrenade;weapon_flashbang</x:v>
      </x:c>
      <x:c r="E9" s="22" t="n">
        <x:v>2550</x:v>
      </x:c>
      <x:c r="F9" s="22" t="n">
        <x:v>2</x:v>
      </x:c>
      <x:c r="G9" s="9" t="str">
        <x:v>1闪1烟；另有2个空投掷物位</x:v>
      </x:c>
      <x:c r="H9" s="9" t="str">
        <x:v>E04</x:v>
      </x:c>
      <x:c r="I9" s="9" t="str">
        <x:v>为展示经济决策而编排的分析样例；不是官方推荐固定配装</x:v>
      </x:c>
    </x:row>
    <x:row r="10" ht="28" customHeight="1">
      <x:c r="A10" s="17" t="str">
        <x:v>B04</x:v>
      </x:c>
      <x:c r="B10" s="17" t="str">
        <x:v>CT</x:v>
      </x:c>
      <x:c r="C10" s="17" t="str">
        <x:v>MP9基本配装</x:v>
      </x:c>
      <x:c r="D10" s="17" t="str">
        <x:v>weapon_mp9;item_assaultsuit;item_defuser;weapon_smokegrenade;weapon_flashbang</x:v>
      </x:c>
      <x:c r="E10" s="23" t="n">
        <x:v>3150</x:v>
      </x:c>
      <x:c r="F10" s="23" t="n">
        <x:v>2</x:v>
      </x:c>
      <x:c r="G10" s="17" t="str">
        <x:v>1闪1烟</x:v>
      </x:c>
      <x:c r="H10" s="17" t="str">
        <x:v>E04</x:v>
      </x:c>
      <x:c r="I10" s="17" t="str">
        <x:v>为展示经济决策而编排的分析样例；不是官方推荐固定配装</x:v>
      </x:c>
    </x:row>
    <x:row r="11" ht="28" customHeight="1">
      <x:c r="A11" s="9" t="str">
        <x:v>B05</x:v>
      </x:c>
      <x:c r="B11" s="9" t="str">
        <x:v>T</x:v>
      </x:c>
      <x:c r="C11" s="9" t="str">
        <x:v>Galil节省配装</x:v>
      </x:c>
      <x:c r="D11" s="9" t="str">
        <x:v>weapon_galilar;item_assaultsuit;weapon_smokegrenade;weapon_flashbang;weapon_molotov</x:v>
      </x:c>
      <x:c r="E11" s="22" t="n">
        <x:v>3700</x:v>
      </x:c>
      <x:c r="F11" s="22" t="n">
        <x:v>3</x:v>
      </x:c>
      <x:c r="G11" s="9" t="str">
        <x:v>3枚投掷物</x:v>
      </x:c>
      <x:c r="H11" s="9" t="str">
        <x:v>E04</x:v>
      </x:c>
      <x:c r="I11" s="9" t="str">
        <x:v>为展示经济决策而编排的分析样例；不是官方推荐固定配装</x:v>
      </x:c>
    </x:row>
    <x:row r="12" ht="38" customHeight="1">
      <x:c r="A12" s="17" t="str">
        <x:v>B06</x:v>
      </x:c>
      <x:c r="B12" s="17" t="str">
        <x:v>T</x:v>
      </x:c>
      <x:c r="C12" s="17" t="str">
        <x:v>AK四投配装</x:v>
      </x:c>
      <x:c r="D12" s="17" t="str">
        <x:v>weapon_ak47;item_assaultsuit;weapon_smokegrenade;weapon_flashbang;weapon_flashbang;weapon_molotov</x:v>
      </x:c>
      <x:c r="E12" s="23" t="n">
        <x:v>4800</x:v>
      </x:c>
      <x:c r="F12" s="23" t="n">
        <x:v>4</x:v>
      </x:c>
      <x:c r="G12" s="17" t="str">
        <x:v>烟+双闪+燃烧瓶，满4枚</x:v>
      </x:c>
      <x:c r="H12" s="17" t="str">
        <x:v>E04</x:v>
      </x:c>
      <x:c r="I12" s="17" t="str">
        <x:v>为展示经济决策而编排的分析样例；不是官方推荐固定配装</x:v>
      </x:c>
    </x:row>
    <x:row r="13" ht="38" customHeight="1">
      <x:c r="A13" s="9" t="str">
        <x:v>B07</x:v>
      </x:c>
      <x:c r="B13" s="9" t="str">
        <x:v>CT</x:v>
      </x:c>
      <x:c r="C13" s="9" t="str">
        <x:v>M4四投含钳配装</x:v>
      </x:c>
      <x:c r="D13" s="9" t="str">
        <x:v>weapon_m4a1;item_assaultsuit;item_defuser;weapon_smokegrenade;weapon_flashbang;weapon_flashbang;weapon_incgrenade</x:v>
      </x:c>
      <x:c r="E13" s="22" t="n">
        <x:v>5500</x:v>
      </x:c>
      <x:c r="F13" s="22" t="n">
        <x:v>4</x:v>
      </x:c>
      <x:c r="G13" s="9" t="str">
        <x:v>烟+双闪+CT火，满4枚</x:v>
      </x:c>
      <x:c r="H13" s="9" t="str">
        <x:v>E04</x:v>
      </x:c>
      <x:c r="I13" s="9" t="str">
        <x:v>为展示经济决策而编排的分析样例；不是官方推荐固定配装</x:v>
      </x:c>
    </x:row>
    <x:row r="14" ht="38" customHeight="1">
      <x:c r="A14" s="17" t="str">
        <x:v>B08</x:v>
      </x:c>
      <x:c r="B14" s="17" t="str">
        <x:v>CT</x:v>
      </x:c>
      <x:c r="C14" s="17" t="str">
        <x:v>M4A1-S四投含钳配装</x:v>
      </x:c>
      <x:c r="D14" s="17" t="str">
        <x:v>weapon_m4a1_silencer;item_assaultsuit;item_defuser;weapon_smokegrenade;weapon_flashbang;weapon_flashbang;weapon_incgrenade</x:v>
      </x:c>
      <x:c r="E14" s="23" t="n">
        <x:v>5500</x:v>
      </x:c>
      <x:c r="F14" s="23" t="n">
        <x:v>4</x:v>
      </x:c>
      <x:c r="G14" s="17" t="str">
        <x:v>与M4A4同价不代表战术表现相同</x:v>
      </x:c>
      <x:c r="H14" s="17" t="str">
        <x:v>E04</x:v>
      </x:c>
      <x:c r="I14" s="17" t="str">
        <x:v>为展示经济决策而编排的分析样例；不是官方推荐固定配装</x:v>
      </x:c>
    </x:row>
    <x:row r="15" ht="38" customHeight="1">
      <x:c r="A15" s="9" t="str">
        <x:v>B09</x:v>
      </x:c>
      <x:c r="B15" s="9" t="str">
        <x:v>T</x:v>
      </x:c>
      <x:c r="C15" s="9" t="str">
        <x:v>AWP四投配装</x:v>
      </x:c>
      <x:c r="D15" s="9" t="str">
        <x:v>weapon_awp;item_assaultsuit;weapon_smokegrenade;weapon_flashbang;weapon_flashbang;weapon_molotov</x:v>
      </x:c>
      <x:c r="E15" s="22" t="n">
        <x:v>6850</x:v>
      </x:c>
      <x:c r="F15" s="22" t="n">
        <x:v>4</x:v>
      </x:c>
      <x:c r="G15" s="9" t="str">
        <x:v>不含额外购买副武器</x:v>
      </x:c>
      <x:c r="H15" s="9" t="str">
        <x:v>E04</x:v>
      </x:c>
      <x:c r="I15" s="9" t="str">
        <x:v>为展示经济决策而编排的分析样例；不是官方推荐固定配装</x:v>
      </x:c>
    </x:row>
    <x:row r="16" ht="38" customHeight="1">
      <x:c r="A16" s="17" t="str">
        <x:v>B10</x:v>
      </x:c>
      <x:c r="B16" s="17" t="str">
        <x:v>CT</x:v>
      </x:c>
      <x:c r="C16" s="17" t="str">
        <x:v>AWP四投含钳配装</x:v>
      </x:c>
      <x:c r="D16" s="17" t="str">
        <x:v>weapon_awp;item_assaultsuit;item_defuser;weapon_smokegrenade;weapon_flashbang;weapon_flashbang;weapon_incgrenade</x:v>
      </x:c>
      <x:c r="E16" s="23" t="n">
        <x:v>7350</x:v>
      </x:c>
      <x:c r="F16" s="23" t="n">
        <x:v>4</x:v>
      </x:c>
      <x:c r="G16" s="17" t="str">
        <x:v>不含额外购买副武器</x:v>
      </x:c>
      <x:c r="H16" s="17" t="str">
        <x:v>E04</x:v>
      </x:c>
      <x:c r="I16" s="17" t="str">
        <x:v>为展示经济决策而编排的分析样例；不是官方推荐固定配装</x:v>
      </x:c>
    </x:row>
    <x:row r="17" ht="28" customHeight="1">
      <x:c r="A17" s="9" t="str">
        <x:v>B11</x:v>
      </x:c>
      <x:c r="B17" s="9" t="str">
        <x:v>CT</x:v>
      </x:c>
      <x:c r="C17" s="9" t="str">
        <x:v>FAMAS经济步枪配装</x:v>
      </x:c>
      <x:c r="D17" s="9" t="str">
        <x:v>weapon_famas;item_assaultsuit;item_defuser;weapon_smokegrenade;weapon_flashbang</x:v>
      </x:c>
      <x:c r="E17" s="22" t="n">
        <x:v>3850</x:v>
      </x:c>
      <x:c r="F17" s="22" t="n">
        <x:v>2</x:v>
      </x:c>
      <x:c r="G17" s="9" t="str">
        <x:v>1闪1烟</x:v>
      </x:c>
      <x:c r="H17" s="9" t="str">
        <x:v>E04</x:v>
      </x:c>
      <x:c r="I17" s="9" t="str">
        <x:v>为展示经济决策而编排的分析样例；不是官方推荐固定配装</x:v>
      </x:c>
    </x:row>
    <x:row r="18" ht="28" customHeight="1">
      <x:c r="A18" s="17" t="str">
        <x:v>B12</x:v>
      </x:c>
      <x:c r="B18" s="17" t="str">
        <x:v>T</x:v>
      </x:c>
      <x:c r="C18" s="17" t="str">
        <x:v>AK已有完整防具</x:v>
      </x:c>
      <x:c r="D18" s="17" t="str">
        <x:v>weapon_ak47;weapon_smokegrenade;weapon_flashbang;weapon_flashbang;weapon_molotov</x:v>
      </x:c>
      <x:c r="E18" s="23" t="n">
        <x:v>3800</x:v>
      </x:c>
      <x:c r="F18" s="23" t="n">
        <x:v>4</x:v>
      </x:c>
      <x:c r="G18" s="17" t="str">
        <x:v>假设防具均完好保留；仅计算本次新增购买</x:v>
      </x:c>
      <x:c r="H18" s="17" t="str">
        <x:v>E04</x:v>
      </x:c>
      <x:c r="I18" s="17" t="str">
        <x:v>为展示经济决策而编排的分析样例；不是官方推荐固定配装</x:v>
      </x:c>
    </x:row>
  </x:sheetData>
  <x:pageMargins left="0.7" right="0.7" top="0.75" bottom="0.75" header="0.3" footer="0.3"/>
  <x:tableParts count="1">
    <x:tablePart xmlns:r="http://schemas.openxmlformats.org/officeDocument/2006/relationships" r:id="R10ce6eb0fcfc4bc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35" hidden="0" customWidth="1"/>
    <x:col min="3" max="3" width="105" hidden="0" customWidth="1"/>
    <x:col min="4" max="4" width="85" hidden="0" customWidth="1"/>
    <x:col min="5" max="5" width="45" hidden="0" customWidth="1"/>
    <x:col min="6" max="6" width="85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公式与输入契约</x:v>
      </x:c>
      <x:c r="B2" s="1"/>
      <x:c r="C2" s="1"/>
      <x:c r="D2" s="1"/>
      <x:c r="E2" s="1"/>
      <x:c r="F2" s="1"/>
    </x:row>
    <x:row r="3" ht="23" customHeight="1">
      <x:c r="A3" s="3"/>
      <x:c r="B3" s="3"/>
      <x:c r="C3" s="3"/>
      <x:c r="D3" s="3"/>
      <x:c r="E3" s="3"/>
      <x:c r="F3" s="3"/>
    </x:row>
    <x:row r="4" ht="23" customHeight="1">
      <x:c r="A4" s="19" t="str">
        <x:v>中文字段为语义占位，交付xlsx需替换为单元格/命名区域。公式演示不等于已接入游戏。</x:v>
      </x:c>
      <x:c r="B4" s="1"/>
      <x:c r="C4" s="1"/>
      <x:c r="D4" s="1"/>
      <x:c r="E4" s="1"/>
      <x:c r="F4" s="1"/>
    </x:row>
    <x:row r="5" ht="23" customHeight="1">
      <x:c r="A5" s="1"/>
      <x:c r="B5" s="1"/>
      <x:c r="C5" s="1"/>
      <x:c r="D5" s="1"/>
      <x:c r="E5" s="1"/>
      <x:c r="F5" s="1"/>
    </x:row>
    <x:row r="6" ht="34" customHeight="1">
      <x:c r="A6" s="14" t="str">
        <x:v>公式ID</x:v>
      </x:c>
      <x:c r="B6" s="15" t="str">
        <x:v>计算项</x:v>
      </x:c>
      <x:c r="C6" s="15" t="str">
        <x:v>Excel表达式示意</x:v>
      </x:c>
      <x:c r="D6" s="15" t="str">
        <x:v>输入契约</x:v>
      </x:c>
      <x:c r="E6" s="15" t="str">
        <x:v>输出含义</x:v>
      </x:c>
      <x:c r="F6" s="16" t="str">
        <x:v>适用边界</x:v>
      </x:c>
    </x:row>
    <x:row r="7" ht="28" customHeight="1">
      <x:c r="A7" s="9" t="str">
        <x:v>F01</x:v>
      </x:c>
      <x:c r="B7" s="9" t="str">
        <x:v>败局基础补偿</x:v>
      </x:c>
      <x:c r="C7" s="9" t="str">
        <x:v>=1400+500*MIN(4,MAX(0,进入档位))</x:v>
      </x:c>
      <x:c r="D7" s="9" t="str">
        <x:v>进入档位为0—4整数</x:v>
      </x:c>
      <x:c r="E7" s="9" t="str">
        <x:v>1400/1900/2400/2900/3400</x:v>
      </x:c>
      <x:c r="F7" s="9" t="str">
        <x:v>先计算本回合败局金额，后更新档位。</x:v>
      </x:c>
    </x:row>
    <x:row r="8" ht="28" customHeight="1">
      <x:c r="A8" s="17" t="str">
        <x:v>F02</x:v>
      </x:c>
      <x:c r="B8" s="17" t="str">
        <x:v>下一回合档位</x:v>
      </x:c>
      <x:c r="C8" s="17" t="str">
        <x:v>=IF(新半场=1,1,IF(结果="胜",MAX(0,进入档位-1),MIN(4,进入档位+1)))</x:v>
      </x:c>
      <x:c r="D8" s="17" t="str">
        <x:v>结果仅胜/负；新半场要独立重置</x:v>
      </x:c>
      <x:c r="E8" s="17" t="str">
        <x:v>0—4整数</x:v>
      </x:c>
      <x:c r="F8" s="17" t="str">
        <x:v>回合结果以队伍为单位；个人存活、击杀数不改队伍档位。</x:v>
      </x:c>
    </x:row>
    <x:row r="9" ht="28" customHeight="1">
      <x:c r="A9" s="9" t="str">
        <x:v>F03</x:v>
      </x:c>
      <x:c r="B9" s="9" t="str">
        <x:v>事件逐笔钱包</x:v>
      </x:c>
      <x:c r="C9" s="9" t="str">
        <x:v>=MIN(现金上限,MAX(0,上笔余额+本笔有效金额))</x:v>
      </x:c>
      <x:c r="D9" s="9" t="str">
        <x:v>本笔有效金额已确定正负；购买不足须先拒绝，不可把不足额购买强行钳到0</x:v>
      </x:c>
      <x:c r="E9" s="9" t="str">
        <x:v>本笔余额</x:v>
      </x:c>
      <x:c r="F9" s="9" t="str">
        <x:v>真实事件顺序；接近现金上限时不宜一次性汇总再扣购买。</x:v>
      </x:c>
    </x:row>
    <x:row r="10" ht="28" customHeight="1">
      <x:c r="A10" s="17" t="str">
        <x:v>F04</x:v>
      </x:c>
      <x:c r="B10" s="17" t="str">
        <x:v>现金购买资格</x:v>
      </x:c>
      <x:c r="C10" s="17" t="str">
        <x:v>=IF(AND(现金&gt;=成本,阵营允许=1,配装允许=1,购买区=1,窗口开放=1,数量允许=1),"可购","不可购")</x:v>
      </x:c>
      <x:c r="D10" s="17" t="str">
        <x:v>每项布尔输入0/1；成本用当前装备状态</x:v>
      </x:c>
      <x:c r="E10" s="17" t="str">
        <x:v>可购/不可购</x:v>
      </x:c>
      <x:c r="F10" s="17" t="str">
        <x:v>团队有钱不等于个人可购；队友发枪需独立物品转移。</x:v>
      </x:c>
    </x:row>
    <x:row r="11" ht="28" customHeight="1">
      <x:c r="A11" s="9" t="str">
        <x:v>F05</x:v>
      </x:c>
      <x:c r="B11" s="9" t="str">
        <x:v>配装预算</x:v>
      </x:c>
      <x:c r="C11" s="9" t="str">
        <x:v>=SUMPRODUCT(单价区域,数量区域)</x:v>
      </x:c>
      <x:c r="D11" s="9" t="str">
        <x:v>单价从配置ID精确匹配；默认/已保留装备不再新增购买</x:v>
      </x:c>
      <x:c r="E11" s="9" t="str">
        <x:v>本次新增购买总价</x:v>
      </x:c>
      <x:c r="F11" s="9" t="str">
        <x:v>不使用皮肤市场价；不把装备原价当钱包余额。</x:v>
      </x:c>
    </x:row>
    <x:row r="12" ht="38" customHeight="1">
      <x:c r="A12" s="17" t="str">
        <x:v>F06</x:v>
      </x:c>
      <x:c r="B12" s="17" t="str">
        <x:v>下回合情景余额（简化）</x:v>
      </x:c>
      <x:c r="C12" s="17" t="str">
        <x:v>=MIN(16000,MAX(0,当前余额+个人击杀收入+个人目标收入+团队结果收入+T被拆下包补贴+CT淘汰共享收入+其他已确认调整))</x:v>
      </x:c>
      <x:c r="D12" s="17" t="str">
        <x:v>当前余额为已完成购买与退款后的真实余额</x:v>
      </x:c>
      <x:c r="E12" s="17" t="str">
        <x:v>该情景下余额</x:v>
      </x:c>
      <x:c r="F12" s="17" t="str">
        <x:v>只作情景估算；分阶段入账/已触发上限的情况以逐笔台账F03为准。</x:v>
      </x:c>
    </x:row>
    <x:row r="13" ht="28" customHeight="1">
      <x:c r="A13" s="9" t="str">
        <x:v>F07</x:v>
      </x:c>
      <x:c r="B13" s="9" t="str">
        <x:v>T被拆下包补贴</x:v>
      </x:c>
      <x:c r="C13" s="9" t="str">
        <x:v>=IF(AND(阵营="T",结果="负",胜因="拆弹",已下包=1,结算资格=1),600,0)</x:v>
      </x:c>
      <x:c r="D13" s="9" t="str">
        <x:v>下包但成功爆炸不能套此公式追加600</x:v>
      </x:c>
      <x:c r="E13" s="9" t="str">
        <x:v>0或600</x:v>
      </x:c>
      <x:c r="F13" s="9" t="str">
        <x:v>个人下包300在完成事件时单记，不能给全队各300。</x:v>
      </x:c>
    </x:row>
    <x:row r="14" ht="28" customHeight="1">
      <x:c r="A14" s="17" t="str">
        <x:v>F08</x:v>
      </x:c>
      <x:c r="B14" s="17" t="str">
        <x:v>CT共享淘汰收入</x:v>
      </x:c>
      <x:c r="C14" s="17" t="str">
        <x:v>=IF(AND(阵营="CT",结算资格=1),50*服务器有效T淘汰数,0)</x:v>
      </x:c>
      <x:c r="D14" s="17" t="str">
        <x:v>有效淘汰数为0—5；标准5v5无重生</x:v>
      </x:c>
      <x:c r="E14" s="17" t="str">
        <x:v>每人0—250</x:v>
      </x:c>
      <x:c r="F14" s="17" t="str">
        <x:v>异常死亡/回合后死亡记数未实测；不能假定所有死亡均算入。</x:v>
      </x:c>
    </x:row>
    <x:row r="15" ht="28" customHeight="1">
      <x:c r="A15" s="9" t="str">
        <x:v>F09</x:v>
      </x:c>
      <x:c r="B15" s="9" t="str">
        <x:v>零收入覆盖</x:v>
      </x:c>
      <x:c r="C15" s="9" t="str">
        <x:v>=IF(零收入例外=1,0,应发团队结果收入)</x:v>
      </x:c>
      <x:c r="D15" s="9" t="str">
        <x:v>该字段指超时等规则资格，不是余额归零开关</x:v>
      </x:c>
      <x:c r="E15" s="9" t="str">
        <x:v>本次团队结果入账</x:v>
      </x:c>
      <x:c r="F15" s="9" t="str">
        <x:v>已有现金与已发个人击杀收入保留；不要把全钱包清0。</x:v>
      </x:c>
    </x:row>
    <x:row r="16" ht="28" customHeight="1">
      <x:c r="A16" s="17" t="str">
        <x:v>F10</x:v>
      </x:c>
      <x:c r="B16" s="17" t="str">
        <x:v>队伍资金缺口</x:v>
      </x:c>
      <x:c r="C16" s="17" t="str">
        <x:v>=MAX(0,目标配装总成本-可用个人现金合计)</x:v>
      </x:c>
      <x:c r="D16" s="17" t="str">
        <x:v>先按保留装备排除重复支出</x:v>
      </x:c>
      <x:c r="E16" s="17" t="str">
        <x:v>理论总缺口</x:v>
      </x:c>
      <x:c r="F16" s="17" t="str">
        <x:v>总缺口0仍可能无法逐人完成购买；护甲不能通过普通丢弃直接发给队友。</x:v>
      </x:c>
    </x:row>
  </x:sheetData>
  <x:pageMargins left="0.7" right="0.7" top="0.75" bottom="0.75" header="0.3" footer="0.3"/>
  <x:tableParts count="1">
    <x:tablePart xmlns:r="http://schemas.openxmlformats.org/officeDocument/2006/relationships" r:id="R49abb89178364ff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48" hidden="0" customWidth="1"/>
    <x:col min="3" max="3" width="85" hidden="0" customWidth="1"/>
    <x:col min="4" max="4" width="65" hidden="0" customWidth="1"/>
    <x:col min="5" max="5" width="22" hidden="0" customWidth="1"/>
    <x:col min="6" max="6" width="80" hidden="0" customWidth="1"/>
    <x:col min="7" max="7" width="2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手算基准与经济验收</x:v>
      </x:c>
      <x:c r="B2" s="1"/>
      <x:c r="C2" s="1"/>
      <x:c r="D2" s="1"/>
      <x:c r="E2" s="1"/>
      <x:c r="F2" s="1"/>
      <x:c r="G2" s="1"/>
    </x:row>
    <x:row r="3" ht="23" customHeight="1">
      <x:c r="A3" s="3"/>
      <x:c r="B3" s="3"/>
      <x:c r="C3" s="3"/>
      <x:c r="D3" s="3"/>
      <x:c r="E3" s="3"/>
      <x:c r="F3" s="3"/>
      <x:c r="G3" s="3"/>
    </x:row>
    <x:row r="4" ht="23" customHeight="1">
      <x:c r="A4" s="19" t="str">
        <x:v>全部为文档与公式验收基准，状态“未执行客户端测试”。数字期望是给Excel复算用，不代表完成真实CS2服务器验证。</x:v>
      </x:c>
      <x:c r="B4" s="1"/>
      <x:c r="C4" s="1"/>
      <x:c r="D4" s="1"/>
      <x:c r="E4" s="1"/>
      <x:c r="F4" s="1"/>
      <x:c r="G4" s="1"/>
    </x:row>
    <x:row r="5" ht="23" customHeight="1">
      <x:c r="A5" s="1"/>
      <x:c r="B5" s="1"/>
      <x:c r="C5" s="1"/>
      <x:c r="D5" s="1"/>
      <x:c r="E5" s="1"/>
      <x:c r="F5" s="1"/>
      <x:c r="G5" s="1"/>
    </x:row>
    <x:row r="6" ht="34" customHeight="1">
      <x:c r="A6" s="14" t="str">
        <x:v>用例ID</x:v>
      </x:c>
      <x:c r="B6" s="15" t="str">
        <x:v>用例名称</x:v>
      </x:c>
      <x:c r="C6" s="15" t="str">
        <x:v>前置条件</x:v>
      </x:c>
      <x:c r="D6" s="15" t="str">
        <x:v>手算过程</x:v>
      </x:c>
      <x:c r="E6" s="15" t="str">
        <x:v>期望数值</x:v>
      </x:c>
      <x:c r="F6" s="15" t="str">
        <x:v>附加断言</x:v>
      </x:c>
      <x:c r="G6" s="16" t="str">
        <x:v>公式ID</x:v>
      </x:c>
    </x:row>
    <x:row r="7" ht="28" customHeight="1">
      <x:c r="A7" s="9" t="str">
        <x:v>TC01</x:v>
      </x:c>
      <x:c r="B7" s="9" t="str">
        <x:v>首回合无击杀T败局</x:v>
      </x:c>
      <x:c r="C7" s="9" t="str">
        <x:v>半场起始；800全买650甲剩150；档位1；T被歼灭，无下包</x:v>
      </x:c>
      <x:c r="D7" s="9" t="str">
        <x:v>150+1900</x:v>
      </x:c>
      <x:c r="E7" s="22" t="n">
        <x:v>2050</x:v>
      </x:c>
      <x:c r="F7" s="9" t="str">
        <x:v>下回合档位2</x:v>
      </x:c>
      <x:c r="G7" s="9" t="str">
        <x:v>F01;F02;F06</x:v>
      </x:c>
    </x:row>
    <x:row r="8" ht="28" customHeight="1">
      <x:c r="A8" s="17" t="str">
        <x:v>TC02</x:v>
      </x:c>
      <x:c r="B8" s="17" t="str">
        <x:v>首回合T下包后被拆且本人下包</x:v>
      </x:c>
      <x:c r="C8" s="17" t="str">
        <x:v>起始800花650剩150；无击杀；档位1</x:v>
      </x:c>
      <x:c r="D8" s="17" t="str">
        <x:v>150+300+1900+600</x:v>
      </x:c>
      <x:c r="E8" s="23" t="n">
        <x:v>2950</x:v>
      </x:c>
      <x:c r="F8" s="17" t="str">
        <x:v>队友无个人下包300，若同样余额150则2650</x:v>
      </x:c>
      <x:c r="G8" s="17" t="str">
        <x:v>F01;F06;F07</x:v>
      </x:c>
    </x:row>
    <x:row r="9" ht="28" customHeight="1">
      <x:c r="A9" s="9" t="str">
        <x:v>TC03</x:v>
      </x:c>
      <x:c r="B9" s="9" t="str">
        <x:v>首回合T下包被拆的其他队员</x:v>
      </x:c>
      <x:c r="C9" s="9" t="str">
        <x:v>余额150；无击杀；档位1；非下包者</x:v>
      </x:c>
      <x:c r="D9" s="9" t="str">
        <x:v>150+1900+600</x:v>
      </x:c>
      <x:c r="E9" s="22" t="n">
        <x:v>2650</x:v>
      </x:c>
      <x:c r="F9" s="9" t="str">
        <x:v>不复制下包者300到全队</x:v>
      </x:c>
      <x:c r="G9" s="9" t="str">
        <x:v>F01;F07</x:v>
      </x:c>
    </x:row>
    <x:row r="10" ht="28" customHeight="1">
      <x:c r="A10" s="17" t="str">
        <x:v>TC04</x:v>
      </x:c>
      <x:c r="B10" s="17" t="str">
        <x:v>CT拆包获胜且本人拆弹</x:v>
      </x:c>
      <x:c r="C10" s="17" t="str">
        <x:v>购买后现金0；无个人击杀；有效T淘汰3人；本人拆弹</x:v>
      </x:c>
      <x:c r="D10" s="17" t="str">
        <x:v>0+3500+300+3*50</x:v>
      </x:c>
      <x:c r="E10" s="23" t="n">
        <x:v>3950</x:v>
      </x:c>
      <x:c r="F10" s="17" t="str">
        <x:v>队友不加个人拆弹300</x:v>
      </x:c>
      <x:c r="G10" s="17" t="str">
        <x:v>F06;F08</x:v>
      </x:c>
    </x:row>
    <x:row r="11" ht="28" customHeight="1">
      <x:c r="A11" s="9" t="str">
        <x:v>TC05</x:v>
      </x:c>
      <x:c r="B11" s="9" t="str">
        <x:v>CT失败仍领淘汰共享</x:v>
      </x:c>
      <x:c r="C11" s="9" t="str">
        <x:v>购买后现金0；档位2；队内正常击杀3名T；本人无击杀</x:v>
      </x:c>
      <x:c r="D11" s="9" t="str">
        <x:v>2400+3*50</x:v>
      </x:c>
      <x:c r="E11" s="22" t="n">
        <x:v>2550</x:v>
      </x:c>
      <x:c r="F11" s="9" t="str">
        <x:v>包括个人已阵亡的普通整队样例；特殊资格另验</x:v>
      </x:c>
      <x:c r="G11" s="9" t="str">
        <x:v>F01;F08</x:v>
      </x:c>
    </x:row>
    <x:row r="12" ht="28" customHeight="1">
      <x:c r="A12" s="17" t="str">
        <x:v>TC06</x:v>
      </x:c>
      <x:c r="B12" s="17" t="str">
        <x:v>CT MP9两杀并败局</x:v>
      </x:c>
      <x:c r="C12" s="17" t="str">
        <x:v>余额0；档位1；本人MP9两杀；全队共3名有效T淘汰</x:v>
      </x:c>
      <x:c r="D12" s="17" t="str">
        <x:v>1900+2*600+3*50</x:v>
      </x:c>
      <x:c r="E12" s="23" t="n">
        <x:v>3250</x:v>
      </x:c>
      <x:c r="F12" s="17" t="str">
        <x:v>个人奖励与团队共享并存</x:v>
      </x:c>
      <x:c r="G12" s="17" t="str">
        <x:v>F01;F08</x:v>
      </x:c>
    </x:row>
    <x:row r="13" ht="28" customHeight="1">
      <x:c r="A13" s="9" t="str">
        <x:v>TC07</x:v>
      </x:c>
      <x:c r="B13" s="9" t="str">
        <x:v>CT AWP一杀后队伍歼灭获胜</x:v>
      </x:c>
      <x:c r="C13" s="9" t="str">
        <x:v>余额0；本人AWP一杀；正常淘汰5T</x:v>
      </x:c>
      <x:c r="D13" s="9" t="str">
        <x:v>3250+100+5*50</x:v>
      </x:c>
      <x:c r="E13" s="22" t="n">
        <x:v>3600</x:v>
      </x:c>
      <x:c r="F13" s="9" t="str">
        <x:v>不是把AWP当一般步枪300</x:v>
      </x:c>
      <x:c r="G13" s="9" t="str">
        <x:v>F06;F08</x:v>
      </x:c>
    </x:row>
    <x:row r="14" ht="28" customHeight="1">
      <x:c r="A14" s="17" t="str">
        <x:v>TC08</x:v>
      </x:c>
      <x:c r="B14" s="17" t="str">
        <x:v>CT刀杀一次后歼灭获胜</x:v>
      </x:c>
      <x:c r="C14" s="17" t="str">
        <x:v>余额0；刀杀1；正常淘汰5T</x:v>
      </x:c>
      <x:c r="D14" s="17" t="str">
        <x:v>3250+1500+250</x:v>
      </x:c>
      <x:c r="E14" s="23" t="n">
        <x:v>5000</x:v>
      </x:c>
      <x:c r="F14" s="17" t="str">
        <x:v>共享补贴仍只有该回合5次</x:v>
      </x:c>
      <x:c r="G14" s="17" t="str">
        <x:v>F06;F08</x:v>
      </x:c>
    </x:row>
    <x:row r="15" ht="28" customHeight="1">
      <x:c r="A15" s="9" t="str">
        <x:v>TC09</x:v>
      </x:c>
      <x:c r="B15" s="9" t="str">
        <x:v>CT CZ75击杀一次后歼灭获胜</x:v>
      </x:c>
      <x:c r="C15" s="9" t="str">
        <x:v>余额0；CZ杀1；正常淘汰5T</x:v>
      </x:c>
      <x:c r="D15" s="9" t="str">
        <x:v>3250+300+250</x:v>
      </x:c>
      <x:c r="E15" s="22" t="n">
        <x:v>3800</x:v>
      </x:c>
      <x:c r="F15" s="9" t="str">
        <x:v>不能沿用CZ100旧值</x:v>
      </x:c>
      <x:c r="G15" s="9" t="str">
        <x:v>F06;F08</x:v>
      </x:c>
    </x:row>
    <x:row r="16" ht="28" customHeight="1">
      <x:c r="A16" s="17" t="str">
        <x:v>TC10</x:v>
      </x:c>
      <x:c r="B16" s="17" t="str">
        <x:v>CT XM1014击杀一次后歼灭获胜</x:v>
      </x:c>
      <x:c r="C16" s="17" t="str">
        <x:v>余额0；XM杀1；正常淘汰5T</x:v>
      </x:c>
      <x:c r="D16" s="17" t="str">
        <x:v>3250+600+250</x:v>
      </x:c>
      <x:c r="E16" s="23" t="n">
        <x:v>4100</x:v>
      </x:c>
      <x:c r="F16" s="17" t="str">
        <x:v>不能沿用全部霰弹900</x:v>
      </x:c>
      <x:c r="G16" s="17" t="str">
        <x:v>F06;F08</x:v>
      </x:c>
    </x:row>
    <x:row r="17" ht="28" customHeight="1">
      <x:c r="A17" s="9" t="str">
        <x:v>TC11</x:v>
      </x:c>
      <x:c r="B17" s="9" t="str">
        <x:v>CT Zeus击杀一次后歼灭获胜</x:v>
      </x:c>
      <x:c r="C17" s="9" t="str">
        <x:v>余额0；Zeus杀1；正常淘汰5T</x:v>
      </x:c>
      <x:c r="D17" s="9" t="str">
        <x:v>3250+100+250</x:v>
      </x:c>
      <x:c r="E17" s="22" t="n">
        <x:v>3600</x:v>
      </x:c>
      <x:c r="F17" s="9" t="str">
        <x:v>Zeus现奖励100而非0</x:v>
      </x:c>
      <x:c r="G17" s="9" t="str">
        <x:v>F06;F08</x:v>
      </x:c>
    </x:row>
    <x:row r="18" ht="28" customHeight="1">
      <x:c r="A18" s="17" t="str">
        <x:v>TC12</x:v>
      </x:c>
      <x:c r="B18" s="17" t="str">
        <x:v>T超时保枪</x:v>
      </x:c>
      <x:c r="C18" s="17" t="str">
        <x:v>余额100；T未下包超时存活；档位4；无其他收入</x:v>
      </x:c>
      <x:c r="D18" s="17" t="str">
        <x:v>100+0</x:v>
      </x:c>
      <x:c r="E18" s="23" t="n">
        <x:v>100</x:v>
      </x:c>
      <x:c r="F18" s="17" t="str">
        <x:v>不是发3400；也不是把钱包清0</x:v>
      </x:c>
      <x:c r="G18" s="17" t="str">
        <x:v>F09</x:v>
      </x:c>
    </x:row>
    <x:row r="19" ht="28" customHeight="1">
      <x:c r="A19" s="9" t="str">
        <x:v>TC13</x:v>
      </x:c>
      <x:c r="B19" s="9" t="str">
        <x:v>T超时前已死亡</x:v>
      </x:c>
      <x:c r="C19" s="9" t="str">
        <x:v>余额100；T未下包超时；本人已在判胜前被正常击杀；档位4</x:v>
      </x:c>
      <x:c r="D19" s="9" t="str">
        <x:v>100+3400</x:v>
      </x:c>
      <x:c r="E19" s="22" t="n">
        <x:v>3500</x:v>
      </x:c>
      <x:c r="F19" s="9" t="str">
        <x:v>零收入例外需按个人资格区分</x:v>
      </x:c>
      <x:c r="G19" s="9" t="str">
        <x:v>F01;F09</x:v>
      </x:c>
    </x:row>
    <x:row r="20" ht="28" customHeight="1">
      <x:c r="A20" s="17" t="str">
        <x:v>TC14</x:v>
      </x:c>
      <x:c r="B20" s="17" t="str">
        <x:v>现金上限</x:v>
      </x:c>
      <x:c r="C20" s="17" t="str">
        <x:v>当前15900；入账3250</x:v>
      </x:c>
      <x:c r="D20" s="17" t="str">
        <x:v>MIN(16000,15900+3250)</x:v>
      </x:c>
      <x:c r="E20" s="23" t="n">
        <x:v>16000</x:v>
      </x:c>
      <x:c r="F20" s="17" t="str">
        <x:v>多余3150不能储存</x:v>
      </x:c>
      <x:c r="G20" s="17" t="str">
        <x:v>F03</x:v>
      </x:c>
    </x:row>
    <x:row r="21" ht="28" customHeight="1">
      <x:c r="A21" s="9" t="str">
        <x:v>TC15</x:v>
      </x:c>
      <x:c r="B21" s="9" t="str">
        <x:v>按事件顺序触顶再购买</x:v>
      </x:c>
      <x:c r="C21" s="9" t="str">
        <x:v>当前15900；先入账300触顶16000；再合法买2700</x:v>
      </x:c>
      <x:c r="D21" s="9" t="str">
        <x:v>MIN(16000,15900+300)-2700</x:v>
      </x:c>
      <x:c r="E21" s="22" t="n">
        <x:v>13300</x:v>
      </x:c>
      <x:c r="F21" s="9" t="str">
        <x:v>若错误合并15900+300-2700会算13500</x:v>
      </x:c>
      <x:c r="G21" s="9" t="str">
        <x:v>F03</x:v>
      </x:c>
    </x:row>
    <x:row r="22" ht="28" customHeight="1">
      <x:c r="A22" s="17" t="str">
        <x:v>TC16</x:v>
      </x:c>
      <x:c r="B22" s="17" t="str">
        <x:v>败局顶档后胜一局再败</x:v>
      </x:c>
      <x:c r="C22" s="17" t="str">
        <x:v>进入档位4；本回合胜；下一回合进入档位3并败</x:v>
      </x:c>
      <x:c r="D22" s="17" t="str">
        <x:v>1400+500*3</x:v>
      </x:c>
      <x:c r="E22" s="23" t="n">
        <x:v>2900</x:v>
      </x:c>
      <x:c r="F22" s="17" t="str">
        <x:v>再次失败后的档位回4；不是直接清至1400</x:v>
      </x:c>
      <x:c r="G22" s="17" t="str">
        <x:v>F01;F02</x:v>
      </x:c>
    </x:row>
    <x:row r="23" ht="28" customHeight="1">
      <x:c r="A23" s="9" t="str">
        <x:v>TC17</x:v>
      </x:c>
      <x:c r="B23" s="9" t="str">
        <x:v>连续首败序列</x:v>
      </x:c>
      <x:c r="C23" s="9" t="str">
        <x:v>半场初始档位1；连续4败</x:v>
      </x:c>
      <x:c r="D23" s="9" t="str">
        <x:v>1900,2400,2900,3400</x:v>
      </x:c>
      <x:c r="E23" s="22" t="n">
        <x:v>10600</x:v>
      </x:c>
      <x:c r="F23" s="9" t="str">
        <x:v>四局基础败局补偿合计10600；不含击杀下包</x:v>
      </x:c>
      <x:c r="G23" s="9" t="str">
        <x:v>F01;F02</x:v>
      </x:c>
    </x:row>
    <x:row r="24" ht="28" customHeight="1">
      <x:c r="A24" s="17" t="str">
        <x:v>TC18</x:v>
      </x:c>
      <x:c r="B24" s="17" t="str">
        <x:v>首回合胜后再败</x:v>
      </x:c>
      <x:c r="C24" s="17" t="str">
        <x:v>初始1；首局胜后档位0；第二局败</x:v>
      </x:c>
      <x:c r="D24" s="17" t="str">
        <x:v>1400+500*0</x:v>
      </x:c>
      <x:c r="E24" s="23" t="n">
        <x:v>1400</x:v>
      </x:c>
      <x:c r="F24" s="17" t="str">
        <x:v>首败不总是1900，取决于进入档位</x:v>
      </x:c>
      <x:c r="G24" s="17" t="str">
        <x:v>F01;F02</x:v>
      </x:c>
    </x:row>
    <x:row r="25" ht="28" customHeight="1">
      <x:c r="A25" s="9" t="str">
        <x:v>TC19</x:v>
      </x:c>
      <x:c r="B25" s="9" t="str">
        <x:v>AK四投预算</x:v>
      </x:c>
      <x:c r="C25" s="9" t="str">
        <x:v>从无装备开始；AK+完整甲+烟+双闪+燃烧瓶</x:v>
      </x:c>
      <x:c r="D25" s="9" t="str">
        <x:v>2700+1000+300+200+200+400</x:v>
      </x:c>
      <x:c r="E25" s="22" t="n">
        <x:v>4800</x:v>
      </x:c>
      <x:c r="F25" s="9" t="str">
        <x:v>4枚手雷；数量合法</x:v>
      </x:c>
      <x:c r="G25" s="9" t="str">
        <x:v>F05</x:v>
      </x:c>
    </x:row>
    <x:row r="26" ht="28" customHeight="1">
      <x:c r="A26" s="17" t="str">
        <x:v>TC20</x:v>
      </x:c>
      <x:c r="B26" s="17" t="str">
        <x:v>M4含钳四投预算</x:v>
      </x:c>
      <x:c r="C26" s="17" t="str">
        <x:v>从无装备开始；M4+完整甲+钳+烟+双闪+CT火</x:v>
      </x:c>
      <x:c r="D26" s="17" t="str">
        <x:v>2900+1000+400+300+200+200+500</x:v>
      </x:c>
      <x:c r="E26" s="23" t="n">
        <x:v>5500</x:v>
      </x:c>
      <x:c r="F26" s="17" t="str">
        <x:v>不要使用M4旧3100或CT火旧600</x:v>
      </x:c>
      <x:c r="G26" s="17" t="str">
        <x:v>F05</x:v>
      </x:c>
    </x:row>
    <x:row r="27" ht="28" customHeight="1">
      <x:c r="A27" s="9" t="str">
        <x:v>TC21</x:v>
      </x:c>
      <x:c r="B27" s="9" t="str">
        <x:v>等额可购</x:v>
      </x:c>
      <x:c r="C27" s="9" t="str">
        <x:v>个人现金4800，T有配装且在窗口和购买区，购买B06</x:v>
      </x:c>
      <x:c r="D27" s="9" t="str">
        <x:v>4800-4800</x:v>
      </x:c>
      <x:c r="E27" s="22" t="n">
        <x:v>0</x:v>
      </x:c>
      <x:c r="F27" s="9" t="str">
        <x:v>资格可购，结果余额0</x:v>
      </x:c>
      <x:c r="G27" s="9" t="str">
        <x:v>F04;F05</x:v>
      </x:c>
    </x:row>
    <x:row r="28" ht="28" customHeight="1">
      <x:c r="A28" s="17" t="str">
        <x:v>TC22</x:v>
      </x:c>
      <x:c r="B28" s="17" t="str">
        <x:v>不足额拒绝</x:v>
      </x:c>
      <x:c r="C28" s="17" t="str">
        <x:v>个人现金4799，其他资格同TC21；购买4800配装</x:v>
      </x:c>
      <x:c r="D28" s="17" t="str">
        <x:v>4799</x:v>
      </x:c>
      <x:c r="E28" s="23" t="n">
        <x:v>4799</x:v>
      </x:c>
      <x:c r="F28" s="17" t="str">
        <x:v>拒绝，不发物品，不把余额钳至0模拟成功</x:v>
      </x:c>
      <x:c r="G28" s="17" t="str">
        <x:v>F04</x:v>
      </x:c>
    </x:row>
    <x:row r="29" ht="28" customHeight="1">
      <x:c r="A29" s="9" t="str">
        <x:v>TC23</x:v>
      </x:c>
      <x:c r="B29" s="9" t="str">
        <x:v>完整甲保留节省</x:v>
      </x:c>
      <x:c r="C29" s="9" t="str">
        <x:v>AK四投但保留完好甲盔</x:v>
      </x:c>
      <x:c r="D29" s="9" t="str">
        <x:v>4800-1000</x:v>
      </x:c>
      <x:c r="E29" s="22" t="n">
        <x:v>3800</x:v>
      </x:c>
      <x:c r="F29" s="9" t="str">
        <x:v>已持有装备成本与新增购买分开</x:v>
      </x:c>
      <x:c r="G29" s="9" t="str">
        <x:v>F05</x:v>
      </x:c>
    </x:row>
    <x:row r="30" ht="28" customHeight="1">
      <x:c r="A30" s="17" t="str">
        <x:v>TC24</x:v>
      </x:c>
      <x:c r="B30" s="17" t="str">
        <x:v>未经使用退AK</x:v>
      </x:c>
      <x:c r="C30" s="17" t="str">
        <x:v>当前现金1000，本回合自购AK实际支付2700且未使用，可退</x:v>
      </x:c>
      <x:c r="D30" s="17" t="str">
        <x:v>1000+2700</x:v>
      </x:c>
      <x:c r="E30" s="23" t="n">
        <x:v>3700</x:v>
      </x:c>
      <x:c r="F30" s="17" t="str">
        <x:v>实例退后不可重复再退</x:v>
      </x:c>
      <x:c r="G30" s="17" t="str">
        <x:v>F03</x:v>
      </x:c>
    </x:row>
    <x:row r="31" ht="28" customHeight="1">
      <x:c r="A31" s="9" t="str">
        <x:v>TC25</x:v>
      </x:c>
      <x:c r="B31" s="9" t="str">
        <x:v>已开火AK拒绝退购</x:v>
      </x:c>
      <x:c r="C31" s="9" t="str">
        <x:v>当前现金1000，本回合AK已开火</x:v>
      </x:c>
      <x:c r="D31" s="9" t="str">
        <x:v>1000</x:v>
      </x:c>
      <x:c r="E31" s="22" t="n">
        <x:v>1000</x:v>
      </x:c>
      <x:c r="F31" s="9" t="str">
        <x:v>现金物品均不做退款变更</x:v>
      </x:c>
      <x:c r="G31" s="9" t="str">
        <x:v>F03</x:v>
      </x:c>
    </x:row>
    <x:row r="32" ht="28" customHeight="1">
      <x:c r="A32" s="17" t="str">
        <x:v>TC26</x:v>
      </x:c>
      <x:c r="B32" s="17" t="str">
        <x:v>换边重置</x:v>
      </x:c>
      <x:c r="C32" s="17" t="str">
        <x:v>半场结束玩家余额15800，进入下半场</x:v>
      </x:c>
      <x:c r="D32" s="17" t="str">
        <x:v>800</x:v>
      </x:c>
      <x:c r="E32" s="23" t="n">
        <x:v>800</x:v>
      </x:c>
      <x:c r="F32" s="17" t="str">
        <x:v>库存与败局档位独立按新半场初始化；不是16600</x:v>
      </x:c>
      <x:c r="G32" s="17" t="str">
        <x:v>重置</x:v>
      </x:c>
    </x:row>
    <x:row r="33" ht="28" customHeight="1">
      <x:c r="A33" s="9" t="str">
        <x:v>TC27</x:v>
      </x:c>
      <x:c r="B33" s="9" t="str">
        <x:v>Premier加时新半场</x:v>
      </x:c>
      <x:c r="C33" s="9" t="str">
        <x:v>常规/上一加时半场结余7400，进入加时半场</x:v>
      </x:c>
      <x:c r="D33" s="9" t="str">
        <x:v>10000</x:v>
      </x:c>
      <x:c r="E33" s="22" t="n">
        <x:v>10000</x:v>
      </x:c>
      <x:c r="F33" s="9" t="str">
        <x:v>每个加时半场重新给10000，不是加发10000</x:v>
      </x:c>
      <x:c r="G33" s="9" t="str">
        <x:v>重置</x:v>
      </x:c>
    </x:row>
    <x:row r="34" ht="28" customHeight="1">
      <x:c r="A34" s="17" t="str">
        <x:v>TC28</x:v>
      </x:c>
      <x:c r="B34" s="17" t="str">
        <x:v>普通5人CT两次有效淘汰的团队总额</x:v>
      </x:c>
      <x:c r="C34" s="17" t="str">
        <x:v>每名CT获得2*50</x:v>
      </x:c>
      <x:c r="D34" s="17" t="str">
        <x:v>5*2*50</x:v>
      </x:c>
      <x:c r="E34" s="23" t="n">
        <x:v>500</x:v>
      </x:c>
      <x:c r="F34" s="17" t="str">
        <x:v>不能把全队500发给每人</x:v>
      </x:c>
      <x:c r="G34" s="17" t="str">
        <x:v>F08</x:v>
      </x:c>
    </x:row>
    <x:row r="35" ht="28" customHeight="1">
      <x:c r="A35" s="9" t="str">
        <x:v>TC29</x:v>
      </x:c>
      <x:c r="B35" s="9" t="str">
        <x:v>T成功爆炸下包者</x:v>
      </x:c>
      <x:c r="C35" s="9" t="str">
        <x:v>余额0；T下包者完成300；无击杀；C4爆炸获胜</x:v>
      </x:c>
      <x:c r="D35" s="9" t="str">
        <x:v>3500+300</x:v>
      </x:c>
      <x:c r="E35" s="22" t="n">
        <x:v>3800</x:v>
      </x:c>
      <x:c r="F35" s="9" t="str">
        <x:v>不再加“下包被拆”600</x:v>
      </x:c>
      <x:c r="G35" s="9" t="str">
        <x:v>F06;F07</x:v>
      </x:c>
    </x:row>
    <x:row r="36" ht="28" customHeight="1">
      <x:c r="A36" s="17" t="str">
        <x:v>TC30</x:v>
      </x:c>
      <x:c r="B36" s="17" t="str">
        <x:v>队友发AK与个人补装备</x:v>
      </x:c>
      <x:c r="C36" s="17" t="str">
        <x:v>A花2700发给B；B花1000甲+300烟+双闪400+火400</x:v>
      </x:c>
      <x:c r="D36" s="17" t="str">
        <x:v>2700+1000+300+400+400</x:v>
      </x:c>
      <x:c r="E36" s="23" t="n">
        <x:v>4800</x:v>
      </x:c>
      <x:c r="F36" s="17" t="str">
        <x:v>队伍总支出4800；A减少2700，B减少2100；不存在共享钱包</x:v>
      </x:c>
      <x:c r="G36" s="17" t="str">
        <x:v>F05;F10</x:v>
      </x:c>
    </x:row>
  </x:sheetData>
  <x:pageMargins left="0.7" right="0.7" top="0.75" bottom="0.75" header="0.3" footer="0.3"/>
  <x:tableParts count="1">
    <x:tablePart xmlns:r="http://schemas.openxmlformats.org/officeDocument/2006/relationships" r:id="R11cac07a86eb453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5" hidden="0" customWidth="1"/>
    <x:col min="2" max="2" width="42" hidden="0" customWidth="1"/>
    <x:col min="3" max="3" width="80" hidden="0" customWidth="1"/>
    <x:col min="4" max="4" width="90" hidden="0" customWidth="1"/>
    <x:col min="5" max="5" width="90" hidden="0" customWidth="1"/>
    <x:col min="6" max="6" width="30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待验证与证据边界</x:v>
      </x:c>
      <x:c r="B2" s="1"/>
      <x:c r="C2" s="1"/>
      <x:c r="D2" s="1"/>
      <x:c r="E2" s="1"/>
      <x:c r="F2" s="1"/>
    </x:row>
    <x:row r="3" ht="23" customHeight="1">
      <x:c r="A3" s="3"/>
      <x:c r="B3" s="3"/>
      <x:c r="C3" s="3"/>
      <x:c r="D3" s="3"/>
      <x:c r="E3" s="3"/>
      <x:c r="F3" s="3"/>
    </x:row>
    <x:row r="4" ht="23" customHeight="1">
      <x:c r="A4" s="1"/>
      <x:c r="B4" s="1"/>
      <x:c r="C4" s="1"/>
      <x:c r="D4" s="1"/>
      <x:c r="E4" s="1"/>
      <x:c r="F4" s="1"/>
    </x:row>
    <x:row r="5" ht="23" customHeight="1">
      <x:c r="A5" s="1"/>
      <x:c r="B5" s="1"/>
      <x:c r="C5" s="1"/>
      <x:c r="D5" s="1"/>
      <x:c r="E5" s="1"/>
      <x:c r="F5" s="1"/>
    </x:row>
    <x:row r="6" ht="34" customHeight="1">
      <x:c r="A6" s="14" t="str">
        <x:v>问题ID</x:v>
      </x:c>
      <x:c r="B6" s="15" t="str">
        <x:v>核验主题</x:v>
      </x:c>
      <x:c r="C6" s="15" t="str">
        <x:v>已核实内容</x:v>
      </x:c>
      <x:c r="D6" s="15" t="str">
        <x:v>尚未实测内容</x:v>
      </x:c>
      <x:c r="E6" s="15" t="str">
        <x:v>表内处理</x:v>
      </x:c>
      <x:c r="F6" s="16" t="str">
        <x:v>来源ID</x:v>
      </x:c>
    </x:row>
    <x:row r="7" ht="38" customHeight="1">
      <x:c r="A7" s="9" t="str">
        <x:v>U01</x:v>
      </x:c>
      <x:c r="B7" s="9" t="str">
        <x:v>CT共享淘汰奖励的异常归属</x:v>
      </x:c>
      <x:c r="C7" s="9" t="str">
        <x:v>官方证实竞技模式每名被淘汰T计50团队奖，无论该回合胜负。</x:v>
      </x:c>
      <x:c r="D7" s="9" t="str">
        <x:v>T自杀、队杀、世界伤害、C4死亡、回合判胜后击杀、断线与重连如何记有效淘汰数，未完成当前客户端矩阵实测。</x:v>
      </x:c>
      <x:c r="E7" s="9" t="str">
        <x:v>公式只接受已由回合记录确认的有效T淘汰数；不能自动用全部T死亡数或CT个人击杀数代替。</x:v>
      </x:c>
      <x:c r="F7" s="9" t="str">
        <x:v>E03;E08;E09</x:v>
      </x:c>
    </x:row>
    <x:row r="8" ht="38" customHeight="1">
      <x:c r="A8" s="17" t="str">
        <x:v>U02</x:v>
      </x:c>
      <x:c r="B8" s="17" t="str">
        <x:v>仅存活CT才获50的说法</x:v>
      </x:c>
      <x:c r="C8" s="17" t="str">
        <x:v>官方说team award，没有列出“仅存活”限制。</x:v>
      </x:c>
      <x:c r="D8" s="17" t="str">
        <x:v>第三方攻略对此互相矛盾，当前客户端分队员状态未实测。</x:v>
      </x:c>
      <x:c r="E8" s="17" t="str">
        <x:v>标准整队样例按5人共享说明；不得加上“仅存活者”作为已证实规则。死亡/离开/断线分支需用例验证。</x:v>
      </x:c>
      <x:c r="F8" s="17" t="str">
        <x:v>E08;E09</x:v>
      </x:c>
    </x:row>
    <x:row r="9" ht="28" customHeight="1">
      <x:c r="A9" s="9" t="str">
        <x:v>U03</x:v>
      </x:c>
      <x:c r="B9" s="9" t="str">
        <x:v>防具条件价格与退购差额</x:v>
      </x:c>
      <x:c r="C9" s="9" t="str">
        <x:v>无防具购护甲650、完整防具1000；界面文本存在补头盔和补护甲分支。</x:v>
      </x:c>
      <x:c r="D9" s="9" t="str">
        <x:v>不同剩余护甲、头盔状态、同回合升级与Refund All回退组合的实际支付/退还。</x:v>
      </x:c>
      <x:c r="E9" s="9" t="str">
        <x:v>350补头盔仅标推导参考；主预算从无装备或完整保留状态计算。</x:v>
      </x:c>
      <x:c r="F9" s="9" t="str">
        <x:v>E04;E06;E13</x:v>
      </x:c>
    </x:row>
    <x:row r="10" ht="38" customHeight="1">
      <x:c r="A10" s="17" t="str">
        <x:v>U04</x:v>
      </x:c>
      <x:c r="B10" s="17" t="str">
        <x:v>超时／自杀／回合后死亡的零收入分支</x:v>
      </x:c>
      <x:c r="C10" s="17" t="str">
        <x:v>Valve文本保留超时+$0、自杀+$0提示；标准T未下包超时存活无败局收入。</x:v>
      </x:c>
      <x:c r="D10" s="17" t="str">
        <x:v>自杀惩罚与特殊死亡归属、最后一帧死亡和判胜先后、掉线玩家具体结算分支。</x:v>
      </x:c>
      <x:c r="E10" s="17" t="str">
        <x:v>基础模拟用显式“零收入例外”输入覆盖，仅表示该次团队结算为0，不清空先前余额；边缘情况不自动推断。</x:v>
      </x:c>
      <x:c r="F10" s="17" t="str">
        <x:v>E06</x:v>
      </x:c>
    </x:row>
    <x:row r="11" ht="28" customHeight="1">
      <x:c r="A11" s="9" t="str">
        <x:v>U05</x:v>
      </x:c>
      <x:c r="B11" s="9" t="str">
        <x:v>短人补偿／弃赛奖金</x:v>
      </x:c>
      <x:c r="C11" s="9" t="str">
        <x:v>竞技配置cash_team_bonus_shorthanded=1000；ConVar还有延迟与忽略被踢玩家设置。</x:v>
      </x:c>
      <x:c r="D11" s="9" t="str">
        <x:v>官方匹配在不同离队原因、持续回合、重连和现金上限下的实际资格。</x:v>
      </x:c>
      <x:c r="E11" s="9" t="str">
        <x:v>不并入正常5v5基础预算；保留扩展事件输入，避免每个短人回合固定加1000。</x:v>
      </x:c>
      <x:c r="F11" s="9" t="str">
        <x:v>E01;E03</x:v>
      </x:c>
    </x:row>
    <x:row r="12" ht="28" customHeight="1">
      <x:c r="A12" s="17" t="str">
        <x:v>U06</x:v>
      </x:c>
      <x:c r="B12" s="17" t="str">
        <x:v>普通竞技和Premier的官方服务端覆盖</x:v>
      </x:c>
      <x:c r="C12" s="17" t="str">
        <x:v>固定快照含竞技基础CFG、Premier覆盖CFG及ConVar默认值。</x:v>
      </x:c>
      <x:c r="D12" s="17" t="str">
        <x:v>Valve官方匹配服务器可能存在不公开覆盖；本次没有连接服务器读取实际运行ConVar。</x:v>
      </x:c>
      <x:c r="E12" s="17" t="str">
        <x:v>标记为“公开配置快照核对”；不得写“本机实测全部通过”。赛事与第三方配置独立建表。</x:v>
      </x:c>
      <x:c r="F12" s="17" t="str">
        <x:v>E01;E02;E03</x:v>
      </x:c>
    </x:row>
    <x:row r="13" ht="28" customHeight="1">
      <x:c r="A13" s="9" t="str">
        <x:v>U07</x:v>
      </x:c>
      <x:c r="B13" s="9" t="str">
        <x:v>M14与其他数据内存在但未发布装备</x:v>
      </x:c>
      <x:c r="C13" s="9" t="str">
        <x:v>vdata含weapon_m14价格4100和奖励100。</x:v>
      </x:c>
      <x:c r="D13" s="9" t="str">
        <x:v>当前物品表没有对应正式可配装条目，官方公告没有正式5v5开放说明。</x:v>
      </x:c>
      <x:c r="E13" s="9" t="str">
        <x:v>排除常规34枪与购买下拉；不把配置存在写成可玩、可购或已发布。</x:v>
      </x:c>
      <x:c r="F13" s="9" t="str">
        <x:v>E04;E05</x:v>
      </x:c>
    </x:row>
    <x:row r="14" ht="38" customHeight="1">
      <x:c r="A14" s="17" t="str">
        <x:v>U08</x:v>
      </x:c>
      <x:c r="B14" s="17" t="str">
        <x:v>回合内购买数量／携带数量／退款归属</x:v>
      </x:c>
      <x:c r="C14" s="17" t="str">
        <x:v>总携带4、闪光2；公告允许同回合未使用购买退款。</x:v>
      </x:c>
      <x:c r="D14" s="17" t="str">
        <x:v>丢弃拾取、双方反复转手、物品是否保留可退标记、单种手雷购买次数上限的所有组合。</x:v>
      </x:c>
      <x:c r="E14" s="17" t="str">
        <x:v>记录购买者/实例/购买回合/使用标记；把携带上限和购买次数分别验收，不凭总数4推断无限发道具。</x:v>
      </x:c>
      <x:c r="F14" s="17" t="str">
        <x:v>E01;E13;E14</x:v>
      </x:c>
    </x:row>
  </x:sheetData>
  <x:pageMargins left="0.7" right="0.7" top="0.75" bottom="0.75" header="0.3" footer="0.3"/>
  <x:tableParts count="1">
    <x:tablePart xmlns:r="http://schemas.openxmlformats.org/officeDocument/2006/relationships" r:id="R7398b35d7453489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65" hidden="0" customWidth="1"/>
    <x:col min="3" max="3" width="36" hidden="0" customWidth="1"/>
    <x:col min="4" max="4" width="23" hidden="0" customWidth="1"/>
    <x:col min="5" max="5" width="23" hidden="0" customWidth="1"/>
    <x:col min="6" max="6" width="95" hidden="0" customWidth="1"/>
    <x:col min="7" max="7" width="115" hidden="0" customWidth="1"/>
    <x:col min="8" max="8" width="7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来源、版本与引用范围</x:v>
      </x:c>
      <x:c r="B2" s="1"/>
      <x:c r="C2" s="1"/>
      <x:c r="D2" s="1"/>
      <x:c r="E2" s="1"/>
      <x:c r="F2" s="1"/>
      <x:c r="G2" s="1"/>
      <x:c r="H2" s="1"/>
    </x:row>
    <x:row r="3" ht="23" customHeight="1">
      <x:c r="A3" s="3"/>
      <x:c r="B3" s="3"/>
      <x:c r="C3" s="3"/>
      <x:c r="D3" s="3"/>
      <x:c r="E3" s="3"/>
      <x:c r="F3" s="3"/>
      <x:c r="G3" s="3"/>
      <x:c r="H3" s="3"/>
    </x:row>
    <x:row r="4" ht="23" customHeight="1">
      <x:c r="A4" s="19" t="str">
        <x:v>镜像文件以固定提交定位；公告中的旧值仅在没有后续覆盖时使用。</x:v>
      </x:c>
      <x:c r="B4" s="1"/>
      <x:c r="C4" s="1"/>
      <x:c r="D4" s="1"/>
      <x:c r="E4" s="1"/>
      <x:c r="F4" s="1"/>
      <x:c r="G4" s="1"/>
      <x:c r="H4" s="1"/>
    </x:row>
    <x:row r="5" ht="23" customHeight="1">
      <x:c r="A5" s="1"/>
      <x:c r="B5" s="1"/>
      <x:c r="C5" s="1"/>
      <x:c r="D5" s="1"/>
      <x:c r="E5" s="1"/>
      <x:c r="F5" s="1"/>
      <x:c r="G5" s="1"/>
      <x:c r="H5" s="1"/>
    </x:row>
    <x:row r="6" ht="34" customHeight="1">
      <x:c r="A6" s="14" t="str">
        <x:v>来源ID</x:v>
      </x:c>
      <x:c r="B6" s="15" t="str">
        <x:v>资料</x:v>
      </x:c>
      <x:c r="C6" s="15" t="str">
        <x:v>性质</x:v>
      </x:c>
      <x:c r="D6" s="15" t="str">
        <x:v>发布日期</x:v>
      </x:c>
      <x:c r="E6" s="15" t="str">
        <x:v>核查日期</x:v>
      </x:c>
      <x:c r="F6" s="15" t="str">
        <x:v>支持的规则</x:v>
      </x:c>
      <x:c r="G6" s="15" t="str">
        <x:v>链接</x:v>
      </x:c>
      <x:c r="H6" s="16" t="str">
        <x:v>固定提交／文件SHA256</x:v>
      </x:c>
    </x:row>
    <x:row r="7" ht="52" customHeight="1">
      <x:c r="A7" s="9" t="str">
        <x:v>E01</x:v>
      </x:c>
      <x:c r="B7" s="9" t="str">
        <x:v>Valve 竞技模式配置（SteamDatabase 镜像）</x:v>
      </x:c>
      <x:c r="C7" s="9" t="str">
        <x:v>Valve游戏文件的第三方镜像</x:v>
      </x:c>
      <x:c r="D7" s="24" t="d">
        <x:v>2026-10-15T19:12:35.000Z</x:v>
      </x:c>
      <x:c r="E7" s="24" t="d">
        <x:v>2026-10-16T00:00:00.000Z</x:v>
      </x:c>
      <x:c r="F7" s="9" t="str">
        <x:v>5v5标准竞技基础经济、奖励、购买时间、初始现金、上限、起始败局档位。模式配置覆盖默认ConVar。</x:v>
      </x:c>
      <x:c r="G7" s="9" t="str">
        <x:v>https://github.com/SteamDatabase/GameTracking-CS2/blob/5ab573fa8afb5b8db98869d79ed79399fca6e747/game/csgo/cfg/gamemode_competitive.cfg</x:v>
      </x:c>
      <x:c r="H7" s="9" t="str">
        <x:v>5ab573fa8afb5b8db98869d79ed79399fca6e747</x:v>
      </x:c>
    </x:row>
    <x:row r="8" ht="52" customHeight="1">
      <x:c r="A8" s="17" t="str">
        <x:v>E02</x:v>
      </x:c>
      <x:c r="B8" s="17" t="str">
        <x:v>Valve Premier 配置（SteamDatabase 镜像）</x:v>
      </x:c>
      <x:c r="C8" s="17" t="str">
        <x:v>Valve游戏文件的第三方镜像</x:v>
      </x:c>
      <x:c r="D8" s="25" t="d">
        <x:v>2026-10-15T19:12:35.000Z</x:v>
      </x:c>
      <x:c r="E8" s="25" t="d">
        <x:v>2026-10-16T00:00:00.000Z</x:v>
      </x:c>
      <x:c r="F8" s="17" t="str">
        <x:v>Premier 20秒冻结时间、加时启用且限一次；其余基础规则继承竞技配置。</x:v>
      </x:c>
      <x:c r="G8" s="17" t="str">
        <x:v>https://github.com/SteamDatabase/GameTracking-CS2/blob/5ab573fa8afb5b8db98869d79ed79399fca6e747/game/csgo/cfg/gamemode_competitive_tmm.cfg</x:v>
      </x:c>
      <x:c r="H8" s="17" t="str">
        <x:v>5ab573fa8afb5b8db98869d79ed79399fca6e747</x:v>
      </x:c>
    </x:row>
    <x:row r="9" ht="52" customHeight="1">
      <x:c r="A9" s="9" t="str">
        <x:v>E03</x:v>
      </x:c>
      <x:c r="B9" s="9" t="str">
        <x:v>Valve ConVar 转储（SteamDatabase 镜像）</x:v>
      </x:c>
      <x:c r="C9" s="9" t="str">
        <x:v>由SteamDatabase工具转储的Valve程序变量</x:v>
      </x:c>
      <x:c r="D9" s="24" t="d">
        <x:v>2026-10-15T19:12:35.000Z</x:v>
      </x:c>
      <x:c r="E9" s="24" t="d">
        <x:v>2026-10-16T00:00:00.000Z</x:v>
      </x:c>
      <x:c r="F9" s="9" t="str">
        <x:v>败局档位上限4、胜后递减1、加时默认6回合与每半场10000、CT每名被淘汰T共享50。仅当模式配置未覆盖时使用默认值。</x:v>
      </x:c>
      <x:c r="G9" s="9" t="str">
        <x:v>https://github.com/SteamDatabase/GameTracking-CS2/blob/5ab573fa8afb5b8db98869d79ed79399fca6e747/DumpSource2/convars.txt</x:v>
      </x:c>
      <x:c r="H9" s="9" t="str">
        <x:v>5ab573fa8afb5b8db98869d79ed79399fca6e747</x:v>
      </x:c>
    </x:row>
    <x:row r="10" ht="52" customHeight="1">
      <x:c r="A10" s="17" t="str">
        <x:v>E04</x:v>
      </x:c>
      <x:c r="B10" s="17" t="str">
        <x:v>Valve 武器数据（SteamDatabase 镜像）</x:v>
      </x:c>
      <x:c r="C10" s="17" t="str">
        <x:v>Valve游戏文件的第三方镜像</x:v>
      </x:c>
      <x:c r="D10" s="25" t="d">
        <x:v>2026-10-15T19:12:35.000Z</x:v>
      </x:c>
      <x:c r="E10" s="25" t="d">
        <x:v>2026-10-16T00:00:00.000Z</x:v>
      </x:c>
      <x:c r="F10" s="17" t="str">
        <x:v>武器/防具/投掷物/拆弹器的m_nPrice、武器m_nKillAward。非攻击型装备的继承击杀奖不得当作实际可用奖励。</x:v>
      </x:c>
      <x:c r="G10" s="17" t="str">
        <x:v>https://github.com/SteamDatabase/GameTracking-CS2/blob/5ab573fa8afb5b8db98869d79ed79399fca6e747/game/csgo/pak01_dir/scripts/weapons.vdata</x:v>
      </x:c>
      <x:c r="H10" s="17" t="str">
        <x:v>5ab573fa8afb5b8db98869d79ed79399fca6e747</x:v>
      </x:c>
    </x:row>
    <x:row r="11" ht="52" customHeight="1">
      <x:c r="A11" s="9" t="str">
        <x:v>E05</x:v>
      </x:c>
      <x:c r="B11" s="9" t="str">
        <x:v>Valve 物品定义（SteamDatabase 镜像）</x:v>
      </x:c>
      <x:c r="C11" s="9" t="str">
        <x:v>Valve游戏文件的第三方镜像</x:v>
      </x:c>
      <x:c r="D11" s="24" t="d">
        <x:v>2026-10-15T19:12:35.000Z</x:v>
      </x:c>
      <x:c r="E11" s="24" t="d">
        <x:v>2026-10-16T00:00:00.000Z</x:v>
      </x:c>
      <x:c r="F11" s="9" t="str">
        <x:v>物品ID、购买阵营、武器条目与配装；游戏文件含未启用对象，不能仅因有数据就认定正式可购。</x:v>
      </x:c>
      <x:c r="G11" s="9" t="str">
        <x:v>https://github.com/SteamDatabase/GameTracking-CS2/blob/5ab573fa8afb5b8db98869d79ed79399fca6e747/game/csgo/pak01_dir/scripts/items/items_game.txt</x:v>
      </x:c>
      <x:c r="H11" s="9" t="str">
        <x:v>5ab573fa8afb5b8db98869d79ed79399fca6e747</x:v>
      </x:c>
    </x:row>
    <x:row r="12" ht="52" customHeight="1">
      <x:c r="A12" s="17" t="str">
        <x:v>E06</x:v>
      </x:c>
      <x:c r="B12" s="17" t="str">
        <x:v>Valve 英文界面文本（SteamDatabase 镜像）</x:v>
      </x:c>
      <x:c r="C12" s="17" t="str">
        <x:v>Valve游戏文件的第三方镜像</x:v>
      </x:c>
      <x:c r="D12" s="25" t="d">
        <x:v>2026-10-15T19:12:35.000Z</x:v>
      </x:c>
      <x:c r="E12" s="25" t="d">
        <x:v>2026-10-16T00:00:00.000Z</x:v>
      </x:c>
      <x:c r="F12" s="17" t="str">
        <x:v>超时无收入、补头盔/补护甲、团队击杀补贴等提示文本；文本存在不单独证明全部服务器分支。</x:v>
      </x:c>
      <x:c r="G12" s="17" t="str">
        <x:v>https://github.com/SteamDatabase/GameTracking-CS2/blob/5ab573fa8afb5b8db98869d79ed79399fca6e747/game/csgo/pak01_dir/resource/csgo_english.txt</x:v>
      </x:c>
      <x:c r="H12" s="17" t="str">
        <x:v>5ab573fa8afb5b8db98869d79ed79399fca6e747</x:v>
      </x:c>
    </x:row>
    <x:row r="13" ht="52" customHeight="1">
      <x:c r="A13" s="9" t="str">
        <x:v>E07</x:v>
      </x:c>
      <x:c r="B13" s="9" t="str">
        <x:v>Counter-Strike 2 Update</x:v>
      </x:c>
      <x:c r="C13" s="9" t="str">
        <x:v>Valve官方公告</x:v>
      </x:c>
      <x:c r="D13" s="24" t="d">
        <x:v>2026-01-21T22:58:08.000Z</x:v>
      </x:c>
      <x:c r="E13" s="24" t="d">
        <x:v>2026-10-16T00:00:00.000Z</x:v>
      </x:c>
      <x:c r="F13" s="9" t="str">
        <x:v>2026-01-21：MP7/MP5-SD/PP-Bizon各降价100；与当前游戏文件交叉核对绝对价格。</x:v>
      </x:c>
      <x:c r="G13" s="9" t="str">
        <x:v>https://steamcommunity.com/games/CSGO/announcements/detail/511855214544814591</x:v>
      </x:c>
      <x:c r="H13" s="9" t="str">
        <x:v>3391c3832b1eebe35f5f5bf20bbcd9f7cd7aba653b42c22151455fd0056c3429</x:v>
      </x:c>
    </x:row>
    <x:row r="14" ht="52" customHeight="1">
      <x:c r="A14" s="17" t="str">
        <x:v>E08</x:v>
      </x:c>
      <x:c r="B14" s="17" t="str">
        <x:v>Counter-Strike 2 Update</x:v>
      </x:c>
      <x:c r="C14" s="17" t="str">
        <x:v>Valve官方公告</x:v>
      </x:c>
      <x:c r="D14" s="25" t="d">
        <x:v>2025-07-16T00:01:30.000Z</x:v>
      </x:c>
      <x:c r="E14" s="25" t="d">
        <x:v>2026-10-16T00:00:00.000Z</x:v>
      </x:c>
      <x:c r="F14" s="17" t="str">
        <x:v>2025-07-16 UTC：竞技模式CT每淘汰一名T获得50团队奖励；只说明官方明示范围，不推导异常归属。</x:v>
      </x:c>
      <x:c r="G14" s="17" t="str">
        <x:v>https://steamcommunity.com/games/CSGO/announcements/detail/529852487375519750</x:v>
      </x:c>
      <x:c r="H14" s="17" t="str">
        <x:v>3391c3832b1eebe35f5f5bf20bbcd9f7cd7aba653b42c22151455fd0056c3429</x:v>
      </x:c>
    </x:row>
    <x:row r="15" ht="52" customHeight="1">
      <x:c r="A15" s="9" t="str">
        <x:v>E09</x:v>
      </x:c>
      <x:c r="B15" s="9" t="str">
        <x:v>Season Two: Episode One</x:v>
      </x:c>
      <x:c r="C15" s="9" t="str">
        <x:v>Valve官方公告</x:v>
      </x:c>
      <x:c r="D15" s="24" t="d">
        <x:v>2025-07-16T00:00:57.999Z</x:v>
      </x:c>
      <x:c r="E15" s="24" t="d">
        <x:v>2026-10-16T00:00:00.000Z</x:v>
      </x:c>
      <x:c r="F15" s="9" t="str">
        <x:v>2025-07-16 UTC：CT无论回合胜负均可获得团队淘汰奖励。</x:v>
      </x:c>
      <x:c r="G15" s="9" t="str">
        <x:v>https://steamcommunity.com/games/CSGO/announcements/detail/529852487375519752</x:v>
      </x:c>
      <x:c r="H15" s="9" t="str">
        <x:v>3391c3832b1eebe35f5f5bf20bbcd9f7cd7aba653b42c22151455fd0056c3429</x:v>
      </x:c>
    </x:row>
    <x:row r="16" ht="52" customHeight="1">
      <x:c r="A16" s="17" t="str">
        <x:v>E10</x:v>
      </x:c>
      <x:c r="B16" s="17" t="str">
        <x:v>Counter-Strike 2 Update</x:v>
      </x:c>
      <x:c r="C16" s="17" t="str">
        <x:v>Valve官方公告</x:v>
      </x:c>
      <x:c r="D16" s="25" t="d">
        <x:v>2025-01-28T23:40:47.000Z</x:v>
      </x:c>
      <x:c r="E16" s="25" t="d">
        <x:v>2026-10-16T00:00:00.000Z</x:v>
      </x:c>
      <x:c r="F16" s="17" t="str">
        <x:v>2025-01-28：M4A4=2900，FAMAS=1950；R8副射后退款漏洞修复。</x:v>
      </x:c>
      <x:c r="G16" s="17" t="str">
        <x:v>https://steamcommunity.com/games/CSGO/announcements/detail/520830071182721027</x:v>
      </x:c>
      <x:c r="H16" s="17" t="str">
        <x:v>3391c3832b1eebe35f5f5bf20bbcd9f7cd7aba653b42c22151455fd0056c3429</x:v>
      </x:c>
    </x:row>
    <x:row r="17" ht="52" customHeight="1">
      <x:c r="A17" s="9" t="str">
        <x:v>E11</x:v>
      </x:c>
      <x:c r="B17" s="9" t="str">
        <x:v>Release Notes for 5/23/2024</x:v>
      </x:c>
      <x:c r="C17" s="9" t="str">
        <x:v>Valve官方公告</x:v>
      </x:c>
      <x:c r="D17" s="24" t="d">
        <x:v>2024-05-23T21:32:01.000Z</x:v>
      </x:c>
      <x:c r="E17" s="24" t="d">
        <x:v>2026-10-16T00:00:00.000Z</x:v>
      </x:c>
      <x:c r="F17" s="9" t="str">
        <x:v>2024-05-23：T下包后被拆团队奖800改600；CT燃烧弹600改500。旧M4A4=3000被后续更新覆盖。</x:v>
      </x:c>
      <x:c r="G17" s="9" t="str">
        <x:v>https://steamcommunity.com/games/CSGO/announcements/detail/4177730135016140041</x:v>
      </x:c>
      <x:c r="H17" s="9" t="str">
        <x:v>3391c3832b1eebe35f5f5bf20bbcd9f7cd7aba653b42c22151455fd0056c3429</x:v>
      </x:c>
    </x:row>
    <x:row r="18" ht="52" customHeight="1">
      <x:c r="A18" s="17" t="str">
        <x:v>E12</x:v>
      </x:c>
      <x:c r="B18" s="17" t="str">
        <x:v>Release Notes for 4/25/2024</x:v>
      </x:c>
      <x:c r="C18" s="17" t="str">
        <x:v>Valve官方公告</x:v>
      </x:c>
      <x:c r="D18" s="25" t="d">
        <x:v>2024-04-25T23:33:48.000Z</x:v>
      </x:c>
      <x:c r="E18" s="25" t="d">
        <x:v>2026-10-16T00:00:00.000Z</x:v>
      </x:c>
      <x:c r="F18" s="17" t="str">
        <x:v>2024-04-25：Zeus击杀奖100、CZ75击杀奖300、XM1014击杀奖600；购买菜单增加下一回合最低资金。</x:v>
      </x:c>
      <x:c r="G18" s="17" t="str">
        <x:v>https://steamcommunity.com/games/CSGO/announcements/detail/4202497395513061960</x:v>
      </x:c>
      <x:c r="H18" s="17" t="str">
        <x:v>3391c3832b1eebe35f5f5bf20bbcd9f7cd7aba653b42c22151455fd0056c3429</x:v>
      </x:c>
    </x:row>
    <x:row r="19" ht="52" customHeight="1">
      <x:c r="A19" s="9" t="str">
        <x:v>E13</x:v>
      </x:c>
      <x:c r="B19" s="9" t="str">
        <x:v>Release Notes for 6/6/2023</x:v>
      </x:c>
      <x:c r="C19" s="9" t="str">
        <x:v>Valve官方公告</x:v>
      </x:c>
      <x:c r="D19" s="24" t="d">
        <x:v>2023-06-06T21:43:34.000Z</x:v>
      </x:c>
      <x:c r="E19" s="24" t="d">
        <x:v>2026-10-16T00:00:00.000Z</x:v>
      </x:c>
      <x:c r="F19" s="9" t="str">
        <x:v>2023-06-06：当前回合购买且未使用的物品可退款；每阵营1默认手枪+4手枪+5中型+5步枪配装槽。</x:v>
      </x:c>
      <x:c r="G19" s="9" t="str">
        <x:v>https://steamcommunity.com/games/CSGO/announcements/detail/3702568031467145906</x:v>
      </x:c>
      <x:c r="H19" s="9" t="str">
        <x:v>3391c3832b1eebe35f5f5bf20bbcd9f7cd7aba653b42c22151455fd0056c3429</x:v>
      </x:c>
    </x:row>
    <x:row r="20" ht="52" customHeight="1">
      <x:c r="A20" s="17" t="str">
        <x:v>E14</x:v>
      </x:c>
      <x:c r="B20" s="17" t="str">
        <x:v>Counter-Strike 2 Update</x:v>
      </x:c>
      <x:c r="C20" s="17" t="str">
        <x:v>Valve官方公告</x:v>
      </x:c>
      <x:c r="D20" s="25" t="d">
        <x:v>2025-05-13T22:13:02.000Z</x:v>
      </x:c>
      <x:c r="E20" s="25" t="d">
        <x:v>2026-10-16T00:00:00.000Z</x:v>
      </x:c>
      <x:c r="F20" s="17" t="str">
        <x:v>2025-05-13：Buy &amp; Throw武器开火后仍能退款的漏洞已修复。</x:v>
      </x:c>
      <x:c r="G20" s="17" t="str">
        <x:v>https://steamcommunity.com/games/CSGO/announcements/detail/529846144626330002</x:v>
      </x:c>
      <x:c r="H20" s="17" t="str">
        <x:v>3391c3832b1eebe35f5f5bf20bbcd9f7cd7aba653b42c22151455fd0056c3429</x:v>
      </x:c>
    </x:row>
  </x:sheetData>
  <x:pageMargins left="0.7" right="0.7" top="0.75" bottom="0.75" header="0.3" footer="0.3"/>
  <x:tableParts count="1">
    <x:tablePart xmlns:r="http://schemas.openxmlformats.org/officeDocument/2006/relationships" r:id="R178d682775c8421d"/>
  </x:tableParts>
</x:worksheet>
</file>